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ode\Python\BEUCalc\"/>
    </mc:Choice>
  </mc:AlternateContent>
  <xr:revisionPtr revIDLastSave="0" documentId="13_ncr:1_{802D1928-88C2-4179-804A-CA97832A756D}" xr6:coauthVersionLast="47" xr6:coauthVersionMax="47" xr10:uidLastSave="{00000000-0000-0000-0000-000000000000}"/>
  <bookViews>
    <workbookView xWindow="11808" yWindow="4488" windowWidth="11520" windowHeight="8460" tabRatio="703" firstSheet="2" activeTab="2" xr2:uid="{00000000-000D-0000-FFFF-FFFF00000000}"/>
  </bookViews>
  <sheets>
    <sheet name="ModuleSetup" sheetId="3" r:id="rId1"/>
    <sheet name="Einspeisung" sheetId="7" r:id="rId2"/>
    <sheet name="Direktverkauf" sheetId="8" r:id="rId3"/>
    <sheet name="Direktvermarktung" sheetId="9" r:id="rId4"/>
    <sheet name="Mieterstrom" sheetId="10" r:id="rId5"/>
    <sheet name="Parameter" sheetId="4" r:id="rId6"/>
    <sheet name="Kennzahlen" sheetId="5" r:id="rId7"/>
    <sheet name="Output" sheetId="6" r:id="rId8"/>
    <sheet name="xlwings.conf" sheetId="2" r:id="rId9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8" l="1"/>
</calcChain>
</file>

<file path=xl/sharedStrings.xml><?xml version="1.0" encoding="utf-8"?>
<sst xmlns="http://schemas.openxmlformats.org/spreadsheetml/2006/main" count="512" uniqueCount="159">
  <si>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</si>
  <si>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</si>
  <si>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</si>
  <si>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</si>
  <si>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</si>
  <si>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</si>
  <si>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</si>
  <si>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</si>
  <si>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</si>
  <si>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</si>
  <si>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Name</t>
  </si>
  <si>
    <t>Typ</t>
  </si>
  <si>
    <t>Vorgänger</t>
  </si>
  <si>
    <t>Produktion</t>
  </si>
  <si>
    <t>PV_Production_Module</t>
  </si>
  <si>
    <t>None</t>
  </si>
  <si>
    <t>Vertrieb</t>
  </si>
  <si>
    <t>PV_Sales_Module</t>
  </si>
  <si>
    <t>Steuern</t>
  </si>
  <si>
    <t>Tax_Module</t>
  </si>
  <si>
    <t>Rücklage</t>
  </si>
  <si>
    <t>Reserve_Module</t>
  </si>
  <si>
    <t>Parametername</t>
  </si>
  <si>
    <t>Wert</t>
  </si>
  <si>
    <t>P-Parameter Name</t>
  </si>
  <si>
    <t>Finanzierung</t>
  </si>
  <si>
    <t>DVQ x</t>
  </si>
  <si>
    <t>DVQ y</t>
  </si>
  <si>
    <t>Inbetriebnahmedatum</t>
  </si>
  <si>
    <t>Globalstrahlung</t>
  </si>
  <si>
    <t>Zins 1</t>
  </si>
  <si>
    <t>AfA</t>
  </si>
  <si>
    <t>SchwankungLangjährigesMittel</t>
  </si>
  <si>
    <t>Ende Laufzeit 1</t>
  </si>
  <si>
    <t>Degradation</t>
  </si>
  <si>
    <t>UmrechnungAufGeneigteFläche</t>
  </si>
  <si>
    <t>Zins 2</t>
  </si>
  <si>
    <t>Investitionssumme</t>
  </si>
  <si>
    <t>Verschattung</t>
  </si>
  <si>
    <t>Ende Laufzeit 2</t>
  </si>
  <si>
    <t>EigenkapitalAnteil</t>
  </si>
  <si>
    <t>Schneeeinfluss</t>
  </si>
  <si>
    <t>Abloesewert</t>
  </si>
  <si>
    <t>Modulverschmutzung</t>
  </si>
  <si>
    <t>ZusatzkostenVerteilnetzbetreiber</t>
  </si>
  <si>
    <t>Reflexionsverluste</t>
  </si>
  <si>
    <t>BaulicheInvestitionen</t>
  </si>
  <si>
    <t>EinstrahlungsabhängigeVerluste</t>
  </si>
  <si>
    <t>ITInfrastruktur</t>
  </si>
  <si>
    <t>Temperaturverluste</t>
  </si>
  <si>
    <t>Messkonzept</t>
  </si>
  <si>
    <t>ElektrischeVerluste</t>
  </si>
  <si>
    <t>SonstigeKosten</t>
  </si>
  <si>
    <t>MismatchVerluste</t>
  </si>
  <si>
    <t>PauschaleUnvorhergesehenes</t>
  </si>
  <si>
    <t>DCKabelVerluste</t>
  </si>
  <si>
    <t>kWp</t>
  </si>
  <si>
    <t>Wechselrichterverluste</t>
  </si>
  <si>
    <t>kWh_kWp</t>
  </si>
  <si>
    <t>VerlusteDurchLeistungsbegrenzung</t>
  </si>
  <si>
    <t>Eigenverbrauch</t>
  </si>
  <si>
    <t>P_Wert</t>
  </si>
  <si>
    <t>ACKabelVerluste</t>
  </si>
  <si>
    <t>Annuität</t>
  </si>
  <si>
    <t>Transformatorverluste</t>
  </si>
  <si>
    <t>Zinsfrequenz</t>
  </si>
  <si>
    <t>M</t>
  </si>
  <si>
    <t>Tilgungsbeginn</t>
  </si>
  <si>
    <t>Messstellenbetrieb</t>
  </si>
  <si>
    <t>Stromeigenbedarf</t>
  </si>
  <si>
    <t>OnlinePortalNutzungsentgelt</t>
  </si>
  <si>
    <t>InternetNutzungsvertrag</t>
  </si>
  <si>
    <t>Verwaltungskosten</t>
  </si>
  <si>
    <t>Beteiligungskosten</t>
  </si>
  <si>
    <t>Anlagenversicherung</t>
  </si>
  <si>
    <t>Wartungsvertrag</t>
  </si>
  <si>
    <t>Reparaturrückstellungen</t>
  </si>
  <si>
    <t>Pachtkosten</t>
  </si>
  <si>
    <t>StromverbrauchPA</t>
  </si>
  <si>
    <t>LetztverbraucherEntgelt</t>
  </si>
  <si>
    <t>EEG_EinspeiseTarif</t>
  </si>
  <si>
    <t>LCOEDiskontierungszins</t>
  </si>
  <si>
    <t>Inflation</t>
  </si>
  <si>
    <t>Steuersatz</t>
  </si>
  <si>
    <t>Gesetzliche_Rücklage</t>
  </si>
  <si>
    <t>Sonstige_Rücklage</t>
  </si>
  <si>
    <t>Eigenkapitalrendite Produktion vor Steuern</t>
  </si>
  <si>
    <t>LCOE</t>
  </si>
  <si>
    <t>LCOE bei LCOE Diskontierungszins</t>
  </si>
  <si>
    <t>Eigenkapitalrendite Produktion vor Steuern bei Preis = LCOE</t>
  </si>
  <si>
    <t>Eigenkapitalrendite vor Steuern</t>
  </si>
  <si>
    <t>Gesamtkapitalrendite vor Steuern</t>
  </si>
  <si>
    <t>Eigenkapitalrendite nach Steuern</t>
  </si>
  <si>
    <t>Gesamtkapitalrendite nach Steuern</t>
  </si>
  <si>
    <t>Eigenkapitalrendite nach Steuern + Rücklagen</t>
  </si>
  <si>
    <t>Gesamtkapitalrendite nach Steuern + Rücklagen</t>
  </si>
  <si>
    <t>dates</t>
  </si>
  <si>
    <t>Zinsen</t>
  </si>
  <si>
    <t>Tilgung</t>
  </si>
  <si>
    <t>Fixe jährliche Kosten</t>
  </si>
  <si>
    <t>Fixe jährliche Kosten pro kWp</t>
  </si>
  <si>
    <t>Kosten abhängig von Erlösen</t>
  </si>
  <si>
    <t>Direktverbrauch</t>
  </si>
  <si>
    <t>Einspeisung</t>
  </si>
  <si>
    <t>Kosten abhängig von Erlösen Vertrieb</t>
  </si>
  <si>
    <t>Fremdkapital</t>
  </si>
  <si>
    <t>Start_Direktverbrauch</t>
  </si>
  <si>
    <t>ChartOutput</t>
  </si>
  <si>
    <t>Start Mieterstrom oder Direktvermarktung</t>
  </si>
  <si>
    <t>Beschreibung</t>
  </si>
  <si>
    <t>Datum der Inbetriebnahme</t>
  </si>
  <si>
    <t>Nennleistung (kWp)</t>
  </si>
  <si>
    <t>Spezifischer Jahresertrag (kWh/kWp)</t>
  </si>
  <si>
    <t>Degradation (% p.a.)</t>
  </si>
  <si>
    <t>Einspeisevergütung (auch residual, €/kWh)</t>
  </si>
  <si>
    <t>Einnahme aus Direktverkauf (€/kWh)</t>
  </si>
  <si>
    <t>Angebotspreis des Anlagenerrichters (€)</t>
  </si>
  <si>
    <t>Kosten für FRE (€)</t>
  </si>
  <si>
    <t>zB. Schneefanggitter (€)</t>
  </si>
  <si>
    <t>zB. LAN-Verkabelung (€)</t>
  </si>
  <si>
    <t>zB. MKD3 = Mieterstrom-Messkonzept (€)</t>
  </si>
  <si>
    <t>Restwert bei Außerbetriebstellung (€)</t>
  </si>
  <si>
    <t>Versicherungskosten für Elektronik- und Haftpflichtversicherung der einzelnen Anlage (€/kWp)</t>
  </si>
  <si>
    <t>In der Renditekalkulation zu berücksichtigende Pauschale für Reparaturen (% v. Erlöse)</t>
  </si>
  <si>
    <t>Kosten für an den Eigentümer des Daches / der Freifläche zu zahlende Pacht (% v. Erlöse)</t>
  </si>
  <si>
    <t>Kosten des Wartungsvertrags sowie für Pflege (z.B. Wiesenmahd bei Freiflächen,  €/kWp)</t>
  </si>
  <si>
    <t>Kosten des Verteilnetzbetreibers für mtl. Abrechnung u. Messstellenbetrieb (€ p.a.)</t>
  </si>
  <si>
    <t>Kosten für Stromeigenbedarf der Anlage (€ p.a.)</t>
  </si>
  <si>
    <t>Kosten (€ p.a.)</t>
  </si>
  <si>
    <t>Telekom, M-Net oder… (€ p.a.)</t>
  </si>
  <si>
    <t>Kosten für Jahresabschluss, Steuerberater, D&amp;O Versicherung, Personalaufwand (€ p.a.)</t>
  </si>
  <si>
    <t>Kosten innerhalb der BEU bei Beteiligung an einer Projektgesellschaft (€ p.a.)</t>
  </si>
  <si>
    <t>Erwartete durchschnittliche Inflation über die Projektlaufzeit (% p.a.)</t>
  </si>
  <si>
    <t>Satzungsgemäße Rücklage vom Ertrag nach Steuern (reduziert Ausschüttungsbasis, %)</t>
  </si>
  <si>
    <t>allgemeine Instandhaltungsrücklage vom Ertrag nach Steuern (reduziert Ausschüttungsbasis, %)</t>
  </si>
  <si>
    <t>Gesamtsteuersatz BEU (Gewerbesteuer, Kapitalertragssteuer, %)</t>
  </si>
  <si>
    <t>Abschreibungszeitraum (Erweiterung wird abderen  Inbetriebnahme über diesen Zeitraum abgeschriebe, Jahre)</t>
  </si>
  <si>
    <t>Geforderte Rendite für Produktion (%)</t>
  </si>
  <si>
    <t>Cashflows als Chart auf Tab "Output"? (WAHR/FALSCH)</t>
  </si>
  <si>
    <t>Start Einspeisung</t>
  </si>
  <si>
    <t>Start_Einspeisung</t>
  </si>
  <si>
    <t>Zu betrachtendes Performance Quantil der PV Anlage</t>
  </si>
  <si>
    <t>Jahresstromverbrauch des Gebäudes bei Mieterstromprojekt (kWh)</t>
  </si>
  <si>
    <t>Teilnahmequote_Mieterstrom</t>
  </si>
  <si>
    <t>Interner Personalaufwand, Projektierung, Projektmanagement (€)</t>
  </si>
  <si>
    <t>PersonalKosten</t>
  </si>
  <si>
    <t>Sonstige Kosten (€)</t>
  </si>
  <si>
    <t>Unvorhergesehenes (€)</t>
  </si>
  <si>
    <t>aktuelle EEG Vergütungssätze</t>
  </si>
  <si>
    <t>https://www.bundesnetzagentur.de/SharedDocs/Downloads/DE/Sachgebiete/Energie/Unternehmen_Institutionen/ErneuerbareEnergien/ZahlenDatenInformationen/PV_Datenmeldungen/DegressionsVergSaetze_08-10_18.xlsx?__blob=publicationFile&amp;v=2</t>
  </si>
  <si>
    <t>Teilnahmequote Mieterstrom (%)</t>
  </si>
  <si>
    <t>Einspeisevergütung (€/kWh)</t>
  </si>
  <si>
    <t>Einnahme aus Direktverkauf  (€/kWh)</t>
  </si>
  <si>
    <t>Einspeisevergütung (residual, €/kWh)</t>
  </si>
  <si>
    <t>Marktwert (€/kWh)</t>
  </si>
  <si>
    <t>Vermarktungspauschale (€/kWh)</t>
  </si>
  <si>
    <t>Marktprämie (€/kWh)</t>
  </si>
  <si>
    <t>Start Direktvermarktung</t>
  </si>
  <si>
    <t>C:\Users\Frank\AppData\Local\conda\conda\envs\BEUCalc\python.exe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</si>
</sst>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06">
    <xf numFmtId="0" fontId="0" fillId="0" borderId="0" xfId="0"/>
    <xf numFmtId="0" fontId="7" fillId="0" borderId="0" xfId="0" applyFont="1"/>
    <xf numFmtId="0" fontId="6" fillId="0" borderId="1" xfId="1" applyBorder="1"/>
    <xf numFmtId="0" fontId="6" fillId="0" borderId="0" xfId="1"/>
    <xf numFmtId="0" fontId="6" fillId="0" borderId="2" xfId="1" applyBorder="1"/>
    <xf numFmtId="0" fontId="6" fillId="0" borderId="3" xfId="1" applyBorder="1"/>
    <xf numFmtId="0" fontId="6" fillId="0" borderId="4" xfId="1" applyBorder="1"/>
    <xf numFmtId="0" fontId="6" fillId="0" borderId="2" xfId="1" applyFont="1" applyBorder="1"/>
    <xf numFmtId="0" fontId="6" fillId="0" borderId="0" xfId="1" applyFont="1"/>
    <xf numFmtId="0" fontId="6" fillId="0" borderId="5" xfId="1" applyFont="1" applyBorder="1"/>
    <xf numFmtId="0" fontId="6" fillId="0" borderId="6" xfId="1" applyFont="1" applyFill="1" applyBorder="1"/>
    <xf numFmtId="0" fontId="6" fillId="0" borderId="0" xfId="1" applyFont="1" applyFill="1" applyBorder="1"/>
    <xf numFmtId="0" fontId="6" fillId="0" borderId="2" xfId="1" applyFont="1" applyFill="1" applyBorder="1"/>
    <xf numFmtId="0" fontId="6" fillId="0" borderId="3" xfId="1" applyFont="1" applyBorder="1"/>
    <xf numFmtId="0" fontId="6" fillId="0" borderId="5" xfId="1" applyBorder="1"/>
    <xf numFmtId="0" fontId="6" fillId="0" borderId="7" xfId="1" applyBorder="1"/>
    <xf numFmtId="0" fontId="6" fillId="0" borderId="6" xfId="1" applyBorder="1"/>
    <xf numFmtId="0" fontId="6" fillId="0" borderId="3" xfId="1" applyFont="1" applyFill="1" applyBorder="1"/>
    <xf numFmtId="164" fontId="6" fillId="0" borderId="0" xfId="1" applyNumberFormat="1"/>
    <xf numFmtId="10" fontId="0" fillId="0" borderId="0" xfId="0" applyNumberFormat="1"/>
    <xf numFmtId="14" fontId="0" fillId="0" borderId="0" xfId="0" applyNumberFormat="1"/>
    <xf numFmtId="10" fontId="5" fillId="0" borderId="5" xfId="2" applyNumberFormat="1" applyFont="1" applyBorder="1"/>
    <xf numFmtId="0" fontId="5" fillId="0" borderId="5" xfId="1" applyFont="1" applyBorder="1"/>
    <xf numFmtId="0" fontId="5" fillId="0" borderId="7" xfId="1" applyFont="1" applyBorder="1"/>
    <xf numFmtId="0" fontId="4" fillId="0" borderId="0" xfId="1" applyFont="1"/>
    <xf numFmtId="0" fontId="4" fillId="0" borderId="1" xfId="1" applyFont="1" applyBorder="1"/>
    <xf numFmtId="0" fontId="4" fillId="0" borderId="7" xfId="1" applyFont="1" applyBorder="1"/>
    <xf numFmtId="0" fontId="4" fillId="0" borderId="4" xfId="1" applyFont="1" applyBorder="1"/>
    <xf numFmtId="14" fontId="9" fillId="0" borderId="5" xfId="1" applyNumberFormat="1" applyFont="1" applyBorder="1"/>
    <xf numFmtId="0" fontId="9" fillId="0" borderId="5" xfId="1" applyFont="1" applyBorder="1"/>
    <xf numFmtId="4" fontId="9" fillId="0" borderId="5" xfId="1" applyNumberFormat="1" applyFont="1" applyBorder="1"/>
    <xf numFmtId="10" fontId="9" fillId="0" borderId="7" xfId="2" applyNumberFormat="1" applyFont="1" applyBorder="1"/>
    <xf numFmtId="164" fontId="9" fillId="0" borderId="5" xfId="1" applyNumberFormat="1" applyFont="1" applyBorder="1"/>
    <xf numFmtId="2" fontId="9" fillId="0" borderId="8" xfId="1" applyNumberFormat="1" applyFont="1" applyBorder="1"/>
    <xf numFmtId="10" fontId="9" fillId="0" borderId="5" xfId="2" applyNumberFormat="1" applyFont="1" applyBorder="1"/>
    <xf numFmtId="2" fontId="9" fillId="0" borderId="5" xfId="1" applyNumberFormat="1" applyFont="1" applyBorder="1"/>
    <xf numFmtId="4" fontId="9" fillId="0" borderId="2" xfId="1" applyNumberFormat="1" applyFont="1" applyBorder="1"/>
    <xf numFmtId="14" fontId="9" fillId="0" borderId="7" xfId="1" applyNumberFormat="1" applyFont="1" applyBorder="1"/>
    <xf numFmtId="14" fontId="9" fillId="0" borderId="1" xfId="1" applyNumberFormat="1" applyFont="1" applyBorder="1"/>
    <xf numFmtId="0" fontId="3" fillId="0" borderId="0" xfId="1" applyFont="1"/>
    <xf numFmtId="0" fontId="4" fillId="0" borderId="5" xfId="1" applyFont="1" applyBorder="1"/>
    <xf numFmtId="0" fontId="9" fillId="0" borderId="0" xfId="1" applyFont="1"/>
    <xf numFmtId="164" fontId="10" fillId="0" borderId="0" xfId="3" applyNumberFormat="1"/>
    <xf numFmtId="0" fontId="3" fillId="0" borderId="9" xfId="1" applyFont="1" applyBorder="1"/>
    <xf numFmtId="9" fontId="9" fillId="0" borderId="7" xfId="1" applyNumberFormat="1" applyFont="1" applyBorder="1"/>
    <xf numFmtId="0" fontId="11" fillId="0" borderId="2" xfId="1" applyFont="1" applyBorder="1"/>
    <xf numFmtId="0" fontId="11" fillId="0" borderId="3" xfId="1" applyFont="1" applyBorder="1"/>
    <xf numFmtId="0" fontId="6" fillId="0" borderId="4" xfId="1" applyBorder="1" applyProtection="1">
      <protection locked="0"/>
    </xf>
    <xf numFmtId="0" fontId="6" fillId="0" borderId="0" xfId="1" applyProtection="1">
      <protection locked="0"/>
    </xf>
    <xf numFmtId="14" fontId="9" fillId="0" borderId="5" xfId="1" applyNumberFormat="1" applyFont="1" applyBorder="1" applyProtection="1">
      <protection locked="0"/>
    </xf>
    <xf numFmtId="0" fontId="6" fillId="0" borderId="0" xfId="1" applyFont="1" applyProtection="1">
      <protection locked="0"/>
    </xf>
    <xf numFmtId="10" fontId="5" fillId="0" borderId="5" xfId="2" applyNumberFormat="1" applyFont="1" applyBorder="1" applyProtection="1">
      <protection locked="0"/>
    </xf>
    <xf numFmtId="0" fontId="6" fillId="0" borderId="6" xfId="1" applyFont="1" applyFill="1" applyBorder="1" applyProtection="1">
      <protection locked="0"/>
    </xf>
    <xf numFmtId="0" fontId="6" fillId="0" borderId="0" xfId="1" applyFont="1" applyFill="1" applyBorder="1" applyProtection="1">
      <protection locked="0"/>
    </xf>
    <xf numFmtId="0" fontId="5" fillId="0" borderId="5" xfId="1" applyFont="1" applyBorder="1" applyProtection="1">
      <protection locked="0"/>
    </xf>
    <xf numFmtId="0" fontId="6" fillId="0" borderId="2" xfId="1" applyFont="1" applyFill="1" applyBorder="1" applyProtection="1">
      <protection locked="0"/>
    </xf>
    <xf numFmtId="0" fontId="9" fillId="0" borderId="5" xfId="1" applyFont="1" applyBorder="1" applyProtection="1">
      <protection locked="0"/>
    </xf>
    <xf numFmtId="0" fontId="5" fillId="0" borderId="7" xfId="1" applyFont="1" applyBorder="1" applyProtection="1">
      <protection locked="0"/>
    </xf>
    <xf numFmtId="4" fontId="9" fillId="0" borderId="5" xfId="1" applyNumberFormat="1" applyFont="1" applyBorder="1" applyProtection="1">
      <protection locked="0"/>
    </xf>
    <xf numFmtId="10" fontId="9" fillId="0" borderId="7" xfId="2" applyNumberFormat="1" applyFont="1" applyBorder="1" applyProtection="1">
      <protection locked="0"/>
    </xf>
    <xf numFmtId="164" fontId="9" fillId="0" borderId="4" xfId="1" applyNumberFormat="1" applyFont="1" applyBorder="1" applyProtection="1">
      <protection locked="0"/>
    </xf>
    <xf numFmtId="2" fontId="9" fillId="0" borderId="8" xfId="1" applyNumberFormat="1" applyFont="1" applyBorder="1" applyProtection="1">
      <protection locked="0"/>
    </xf>
    <xf numFmtId="10" fontId="9" fillId="0" borderId="5" xfId="2" applyNumberFormat="1" applyFont="1" applyBorder="1" applyProtection="1">
      <protection locked="0"/>
    </xf>
    <xf numFmtId="2" fontId="9" fillId="0" borderId="5" xfId="1" applyNumberFormat="1" applyFont="1" applyBorder="1" applyProtection="1">
      <protection locked="0"/>
    </xf>
    <xf numFmtId="4" fontId="9" fillId="0" borderId="2" xfId="1" applyNumberFormat="1" applyFont="1" applyBorder="1" applyProtection="1">
      <protection locked="0"/>
    </xf>
    <xf numFmtId="0" fontId="6" fillId="0" borderId="3" xfId="1" applyFont="1" applyFill="1" applyBorder="1" applyProtection="1">
      <protection locked="0"/>
    </xf>
    <xf numFmtId="0" fontId="9" fillId="0" borderId="0" xfId="1" applyFont="1" applyProtection="1">
      <protection locked="0"/>
    </xf>
    <xf numFmtId="164" fontId="10" fillId="0" borderId="0" xfId="3" applyNumberFormat="1" applyProtection="1">
      <protection locked="0"/>
    </xf>
    <xf numFmtId="164" fontId="6" fillId="0" borderId="0" xfId="1" applyNumberFormat="1" applyProtection="1">
      <protection locked="0"/>
    </xf>
    <xf numFmtId="14" fontId="9" fillId="0" borderId="7" xfId="1" applyNumberFormat="1" applyFont="1" applyBorder="1" applyProtection="1">
      <protection locked="0"/>
    </xf>
    <xf numFmtId="14" fontId="9" fillId="0" borderId="1" xfId="1" applyNumberFormat="1" applyFont="1" applyBorder="1" applyProtection="1">
      <protection locked="0"/>
    </xf>
    <xf numFmtId="0" fontId="6" fillId="0" borderId="1" xfId="1" applyBorder="1" applyProtection="1"/>
    <xf numFmtId="0" fontId="6" fillId="0" borderId="2" xfId="1" applyFont="1" applyBorder="1" applyProtection="1"/>
    <xf numFmtId="0" fontId="6" fillId="0" borderId="2" xfId="1" applyBorder="1" applyProtection="1"/>
    <xf numFmtId="0" fontId="6" fillId="0" borderId="5" xfId="1" applyBorder="1" applyProtection="1"/>
    <xf numFmtId="0" fontId="6" fillId="0" borderId="3" xfId="1" applyBorder="1" applyProtection="1"/>
    <xf numFmtId="0" fontId="6" fillId="0" borderId="7" xfId="1" applyBorder="1" applyProtection="1"/>
    <xf numFmtId="0" fontId="6" fillId="0" borderId="3" xfId="1" applyFont="1" applyBorder="1" applyProtection="1"/>
    <xf numFmtId="0" fontId="11" fillId="0" borderId="2" xfId="1" applyFont="1" applyBorder="1" applyProtection="1"/>
    <xf numFmtId="0" fontId="6" fillId="0" borderId="6" xfId="1" applyBorder="1" applyProtection="1"/>
    <xf numFmtId="0" fontId="4" fillId="0" borderId="1" xfId="1" applyFont="1" applyBorder="1" applyProtection="1"/>
    <xf numFmtId="164" fontId="9" fillId="0" borderId="5" xfId="1" applyNumberFormat="1" applyFont="1" applyBorder="1" applyProtection="1">
      <protection locked="0"/>
    </xf>
    <xf numFmtId="9" fontId="9" fillId="0" borderId="7" xfId="1" applyNumberFormat="1" applyFont="1" applyBorder="1" applyProtection="1">
      <protection locked="0"/>
    </xf>
    <xf numFmtId="0" fontId="12" fillId="0" borderId="0" xfId="1" applyFont="1" applyBorder="1" applyProtection="1"/>
    <xf numFmtId="0" fontId="12" fillId="0" borderId="0" xfId="1" applyFont="1" applyFill="1" applyBorder="1" applyProtection="1"/>
    <xf numFmtId="0" fontId="6" fillId="0" borderId="0" xfId="1" applyFont="1" applyBorder="1" applyProtection="1">
      <protection locked="0"/>
    </xf>
    <xf numFmtId="0" fontId="6" fillId="0" borderId="0" xfId="1" applyBorder="1" applyProtection="1">
      <protection locked="0"/>
    </xf>
    <xf numFmtId="0" fontId="12" fillId="0" borderId="0" xfId="1" applyFont="1" applyBorder="1" applyProtection="1">
      <protection locked="0"/>
    </xf>
    <xf numFmtId="0" fontId="4" fillId="0" borderId="7" xfId="1" applyFont="1" applyBorder="1" applyProtection="1"/>
    <xf numFmtId="0" fontId="4" fillId="0" borderId="5" xfId="1" applyFont="1" applyBorder="1" applyProtection="1"/>
    <xf numFmtId="0" fontId="3" fillId="0" borderId="5" xfId="1" applyFont="1" applyBorder="1" applyProtection="1"/>
    <xf numFmtId="0" fontId="2" fillId="0" borderId="5" xfId="1" applyFont="1" applyBorder="1" applyProtection="1"/>
    <xf numFmtId="0" fontId="3" fillId="0" borderId="7" xfId="1" applyFont="1" applyBorder="1" applyProtection="1"/>
    <xf numFmtId="0" fontId="11" fillId="0" borderId="3" xfId="1" applyFont="1" applyBorder="1" applyProtection="1"/>
    <xf numFmtId="0" fontId="4" fillId="0" borderId="4" xfId="1" applyFont="1" applyBorder="1" applyProtection="1"/>
    <xf numFmtId="0" fontId="12" fillId="0" borderId="0" xfId="1" applyFont="1" applyFill="1" applyBorder="1" applyProtection="1">
      <protection locked="0"/>
    </xf>
    <xf numFmtId="164" fontId="9" fillId="0" borderId="8" xfId="1" applyNumberFormat="1" applyFont="1" applyBorder="1" applyProtection="1">
      <protection locked="0"/>
    </xf>
    <xf numFmtId="164" fontId="9" fillId="0" borderId="7" xfId="1" applyNumberFormat="1" applyFont="1" applyBorder="1" applyProtection="1">
      <protection locked="0"/>
    </xf>
    <xf numFmtId="0" fontId="2" fillId="0" borderId="8" xfId="1" applyFont="1" applyBorder="1" applyProtection="1"/>
    <xf numFmtId="0" fontId="2" fillId="0" borderId="7" xfId="1" applyFont="1" applyBorder="1" applyProtection="1"/>
    <xf numFmtId="0" fontId="2" fillId="0" borderId="4" xfId="1" applyFont="1" applyBorder="1" applyProtection="1"/>
    <xf numFmtId="0" fontId="9" fillId="0" borderId="0" xfId="1" applyFont="1" applyProtection="1"/>
    <xf numFmtId="164" fontId="10" fillId="0" borderId="0" xfId="3" applyNumberFormat="1" applyProtection="1"/>
    <xf numFmtId="0" fontId="1" fillId="0" borderId="5" xfId="1" applyFont="1" applyBorder="1" applyProtection="1"/>
    <xf numFmtId="0" fontId="1" fillId="0" borderId="7" xfId="1" applyFont="1" applyBorder="1" applyProtection="1"/>
    <xf numFmtId="0" fontId="1" fillId="0" borderId="5" xfId="1" applyFont="1" applyBorder="1"/>
  </cellXfs>
  <cellStyles count="4">
    <cellStyle name="Hyperlink" xfId="3" builtinId="8"/>
    <cellStyle name="Normal" xfId="0" builtinId="0"/>
    <cellStyle name="Prozent 2" xfId="2" xr:uid="{927424D0-7B8A-4D1B-B2DC-ADD118853FEC}"/>
    <cellStyle name="Standard 2" xfId="1" xr:uid="{0D62302B-5AA6-4A17-A148-FB10164D4CB7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335280</xdr:colOff>
          <xdr:row>10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335280</xdr:colOff>
          <xdr:row>10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335280</xdr:colOff>
          <xdr:row>10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335280</xdr:colOff>
          <xdr:row>10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</xdr:row>
          <xdr:rowOff>182880</xdr:rowOff>
        </xdr:from>
        <xdr:to>
          <xdr:col>4</xdr:col>
          <xdr:colOff>1623060</xdr:colOff>
          <xdr:row>23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undesnetzagentur.de/SharedDocs/Downloads/DE/Sachgebiete/Energie/Unternehmen_Institutionen/ErneuerbareEnergien/ZahlenDatenInformationen/PV_Datenmeldungen/DegressionsVergSaetze_08-10_18.xlsx?__blob=publicationFile&amp;v=2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hyperlink" Target="https://www.bundesnetzagentur.de/SharedDocs/Downloads/DE/Sachgebiete/Energie/Unternehmen_Institutionen/ErneuerbareEnergien/ZahlenDatenInformationen/PV_Datenmeldungen/DegressionsVergSaetze_08-10_18.xlsx?__blob=publicationFile&amp;v=2" TargetMode="Externa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63DC6-BE4F-4A30-8037-647B2ED4963F}">
  <sheetPr codeName="Tabelle1"/>
  <dimension ref="A1:C5"/>
  <sheetViews>
    <sheetView workbookViewId="0">
      <selection activeCell="B12" sqref="B12"/>
    </sheetView>
  </sheetViews>
  <sheetFormatPr defaultColWidth="11" defaultRowHeight="14.4" x14ac:dyDescent="0.3"/>
  <cols>
    <col min="1" max="1" width="11" style="3"/>
    <col min="2" max="2" width="19.5" style="3" bestFit="1" customWidth="1"/>
    <col min="3" max="16384" width="11" style="3"/>
  </cols>
  <sheetData>
    <row r="1" spans="1:3" x14ac:dyDescent="0.3">
      <c r="A1" s="2" t="s">
        <v>10</v>
      </c>
      <c r="B1" s="2" t="s">
        <v>11</v>
      </c>
      <c r="C1" s="2" t="s">
        <v>12</v>
      </c>
    </row>
    <row r="2" spans="1:3" x14ac:dyDescent="0.3">
      <c r="A2" s="4" t="s">
        <v>13</v>
      </c>
      <c r="B2" s="4" t="s">
        <v>14</v>
      </c>
      <c r="C2" s="4" t="s">
        <v>15</v>
      </c>
    </row>
    <row r="3" spans="1:3" x14ac:dyDescent="0.3">
      <c r="A3" s="4" t="s">
        <v>16</v>
      </c>
      <c r="B3" s="4" t="s">
        <v>17</v>
      </c>
      <c r="C3" s="4" t="s">
        <v>13</v>
      </c>
    </row>
    <row r="4" spans="1:3" x14ac:dyDescent="0.3">
      <c r="A4" s="4" t="s">
        <v>18</v>
      </c>
      <c r="B4" s="4" t="s">
        <v>19</v>
      </c>
      <c r="C4" s="4" t="s">
        <v>16</v>
      </c>
    </row>
    <row r="5" spans="1:3" x14ac:dyDescent="0.3">
      <c r="A5" s="5" t="s">
        <v>20</v>
      </c>
      <c r="B5" s="5" t="s">
        <v>21</v>
      </c>
      <c r="C5" s="5" t="s">
        <v>18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909F-1F14-40DF-B2BF-77140AE49114}">
  <sheetPr codeName="Tabelle5"/>
  <dimension ref="A1:M42"/>
  <sheetViews>
    <sheetView workbookViewId="0">
      <selection activeCell="C32" sqref="C32"/>
    </sheetView>
  </sheetViews>
  <sheetFormatPr defaultColWidth="11" defaultRowHeight="14.4" x14ac:dyDescent="0.3"/>
  <cols>
    <col min="1" max="1" width="88.8984375" style="48" customWidth="1"/>
    <col min="2" max="2" width="31.09765625" style="48" hidden="1" customWidth="1"/>
    <col min="3" max="4" width="11" style="48"/>
    <col min="5" max="5" width="16.69921875" style="48" customWidth="1"/>
    <col min="6" max="7" width="11" style="48"/>
    <col min="8" max="8" width="12.5" style="48" bestFit="1" customWidth="1"/>
    <col min="9" max="16384" width="11" style="48"/>
  </cols>
  <sheetData>
    <row r="1" spans="1:13" x14ac:dyDescent="0.3">
      <c r="A1" s="88" t="s">
        <v>109</v>
      </c>
      <c r="B1" s="71" t="s">
        <v>22</v>
      </c>
      <c r="C1" s="47" t="s">
        <v>23</v>
      </c>
      <c r="E1" s="71" t="s">
        <v>25</v>
      </c>
      <c r="F1" s="47" t="s">
        <v>23</v>
      </c>
    </row>
    <row r="2" spans="1:13" s="50" customFormat="1" x14ac:dyDescent="0.3">
      <c r="A2" s="89" t="s">
        <v>110</v>
      </c>
      <c r="B2" s="72" t="s">
        <v>28</v>
      </c>
      <c r="C2" s="49">
        <v>43525</v>
      </c>
      <c r="E2" s="72" t="s">
        <v>30</v>
      </c>
      <c r="F2" s="51">
        <v>1.7500000000000002E-2</v>
      </c>
      <c r="L2" s="53"/>
      <c r="M2" s="53"/>
    </row>
    <row r="3" spans="1:13" s="50" customFormat="1" x14ac:dyDescent="0.3">
      <c r="A3" s="90" t="s">
        <v>139</v>
      </c>
      <c r="B3" s="78" t="s">
        <v>140</v>
      </c>
      <c r="C3" s="49">
        <v>43525</v>
      </c>
      <c r="E3" s="72" t="s">
        <v>33</v>
      </c>
      <c r="F3" s="54">
        <v>120</v>
      </c>
      <c r="L3" s="53"/>
      <c r="M3" s="53"/>
    </row>
    <row r="4" spans="1:13" s="50" customFormat="1" x14ac:dyDescent="0.3">
      <c r="A4" s="89" t="s">
        <v>108</v>
      </c>
      <c r="B4" s="72" t="s">
        <v>106</v>
      </c>
      <c r="C4" s="49">
        <v>43525</v>
      </c>
      <c r="E4" s="72" t="s">
        <v>36</v>
      </c>
      <c r="F4" s="51">
        <v>0.03</v>
      </c>
      <c r="L4" s="53"/>
      <c r="M4" s="53"/>
    </row>
    <row r="5" spans="1:13" s="50" customFormat="1" x14ac:dyDescent="0.3">
      <c r="A5" s="89" t="s">
        <v>111</v>
      </c>
      <c r="B5" s="73" t="s">
        <v>56</v>
      </c>
      <c r="C5" s="56">
        <v>25.6</v>
      </c>
      <c r="E5" s="77" t="s">
        <v>39</v>
      </c>
      <c r="F5" s="57">
        <v>180</v>
      </c>
      <c r="L5" s="53"/>
      <c r="M5" s="53"/>
    </row>
    <row r="6" spans="1:13" s="50" customFormat="1" x14ac:dyDescent="0.3">
      <c r="A6" s="89" t="s">
        <v>112</v>
      </c>
      <c r="B6" s="73" t="s">
        <v>58</v>
      </c>
      <c r="C6" s="58">
        <v>1050</v>
      </c>
      <c r="D6" s="48"/>
      <c r="E6" s="87"/>
      <c r="F6" s="87"/>
      <c r="L6" s="53"/>
      <c r="M6" s="53"/>
    </row>
    <row r="7" spans="1:13" s="50" customFormat="1" x14ac:dyDescent="0.3">
      <c r="A7" s="90" t="s">
        <v>142</v>
      </c>
      <c r="B7" s="73" t="s">
        <v>78</v>
      </c>
      <c r="C7" s="58">
        <v>1</v>
      </c>
      <c r="E7" s="87"/>
      <c r="F7" s="87"/>
      <c r="L7" s="53"/>
      <c r="M7" s="53"/>
    </row>
    <row r="8" spans="1:13" s="50" customFormat="1" x14ac:dyDescent="0.3">
      <c r="A8" s="90" t="s">
        <v>141</v>
      </c>
      <c r="B8" s="73" t="s">
        <v>61</v>
      </c>
      <c r="C8" s="56">
        <v>0.5</v>
      </c>
      <c r="E8" s="87"/>
      <c r="F8" s="87"/>
      <c r="L8" s="53"/>
      <c r="M8" s="53"/>
    </row>
    <row r="9" spans="1:13" s="50" customFormat="1" x14ac:dyDescent="0.3">
      <c r="A9" s="88" t="s">
        <v>113</v>
      </c>
      <c r="B9" s="77" t="s">
        <v>34</v>
      </c>
      <c r="C9" s="59">
        <v>5.0000000000000001E-3</v>
      </c>
      <c r="E9" s="87"/>
      <c r="F9" s="87"/>
      <c r="L9" s="53"/>
      <c r="M9" s="53"/>
    </row>
    <row r="10" spans="1:13" x14ac:dyDescent="0.3">
      <c r="A10" s="100" t="s">
        <v>151</v>
      </c>
      <c r="B10" s="71" t="s">
        <v>80</v>
      </c>
      <c r="C10" s="60">
        <v>0.1105</v>
      </c>
      <c r="E10" s="87"/>
      <c r="F10" s="87"/>
      <c r="L10" s="53"/>
      <c r="M10" s="53"/>
    </row>
    <row r="11" spans="1:13" x14ac:dyDescent="0.3">
      <c r="A11" s="89" t="s">
        <v>116</v>
      </c>
      <c r="B11" s="72" t="s">
        <v>37</v>
      </c>
      <c r="C11" s="58">
        <v>34468</v>
      </c>
      <c r="E11" s="87"/>
      <c r="F11" s="87"/>
      <c r="L11" s="53"/>
      <c r="M11" s="53"/>
    </row>
    <row r="12" spans="1:13" x14ac:dyDescent="0.3">
      <c r="A12" s="89" t="s">
        <v>117</v>
      </c>
      <c r="B12" s="72" t="s">
        <v>44</v>
      </c>
      <c r="C12" s="58">
        <v>0</v>
      </c>
      <c r="E12" s="101" t="s">
        <v>148</v>
      </c>
      <c r="F12" s="87"/>
      <c r="L12" s="53"/>
      <c r="M12" s="53"/>
    </row>
    <row r="13" spans="1:13" x14ac:dyDescent="0.3">
      <c r="A13" s="89" t="s">
        <v>118</v>
      </c>
      <c r="B13" s="72" t="s">
        <v>46</v>
      </c>
      <c r="C13" s="58">
        <v>0</v>
      </c>
      <c r="F13" s="87"/>
      <c r="L13" s="53"/>
      <c r="M13" s="53"/>
    </row>
    <row r="14" spans="1:13" ht="15.6" x14ac:dyDescent="0.3">
      <c r="A14" s="89" t="s">
        <v>119</v>
      </c>
      <c r="B14" s="73" t="s">
        <v>48</v>
      </c>
      <c r="C14" s="58">
        <v>0</v>
      </c>
      <c r="E14" s="102" t="s">
        <v>149</v>
      </c>
      <c r="F14" s="87"/>
      <c r="L14" s="53"/>
      <c r="M14" s="53"/>
    </row>
    <row r="15" spans="1:13" x14ac:dyDescent="0.3">
      <c r="A15" s="89" t="s">
        <v>120</v>
      </c>
      <c r="B15" s="73" t="s">
        <v>50</v>
      </c>
      <c r="C15" s="58">
        <v>365</v>
      </c>
      <c r="E15" s="87"/>
      <c r="F15" s="87"/>
      <c r="L15" s="53"/>
      <c r="M15" s="53"/>
    </row>
    <row r="16" spans="1:13" x14ac:dyDescent="0.3">
      <c r="A16" s="90" t="s">
        <v>144</v>
      </c>
      <c r="B16" s="78" t="s">
        <v>145</v>
      </c>
      <c r="C16" s="58">
        <v>0</v>
      </c>
      <c r="E16" s="87"/>
      <c r="F16" s="87"/>
      <c r="L16" s="53"/>
      <c r="M16" s="53"/>
    </row>
    <row r="17" spans="1:13" x14ac:dyDescent="0.3">
      <c r="A17" s="90" t="s">
        <v>146</v>
      </c>
      <c r="B17" s="73" t="s">
        <v>52</v>
      </c>
      <c r="C17" s="58">
        <v>500</v>
      </c>
      <c r="E17" s="87"/>
      <c r="F17" s="87"/>
      <c r="L17" s="53"/>
      <c r="M17" s="53"/>
    </row>
    <row r="18" spans="1:13" x14ac:dyDescent="0.3">
      <c r="A18" s="90" t="s">
        <v>147</v>
      </c>
      <c r="B18" s="73" t="s">
        <v>54</v>
      </c>
      <c r="C18" s="58">
        <v>1000</v>
      </c>
      <c r="E18" s="87"/>
      <c r="F18" s="87"/>
      <c r="L18" s="53"/>
      <c r="M18" s="53"/>
    </row>
    <row r="19" spans="1:13" x14ac:dyDescent="0.3">
      <c r="A19" s="88" t="s">
        <v>121</v>
      </c>
      <c r="B19" s="72" t="s">
        <v>42</v>
      </c>
      <c r="C19" s="58">
        <v>0</v>
      </c>
      <c r="L19" s="53"/>
      <c r="M19" s="53"/>
    </row>
    <row r="20" spans="1:13" x14ac:dyDescent="0.3">
      <c r="A20" s="89" t="s">
        <v>122</v>
      </c>
      <c r="B20" s="79" t="s">
        <v>74</v>
      </c>
      <c r="C20" s="61">
        <v>2.2999999999999998</v>
      </c>
      <c r="L20" s="53"/>
      <c r="M20" s="53"/>
    </row>
    <row r="21" spans="1:13" x14ac:dyDescent="0.3">
      <c r="A21" s="89" t="s">
        <v>123</v>
      </c>
      <c r="B21" s="73" t="s">
        <v>76</v>
      </c>
      <c r="C21" s="62">
        <v>0.02</v>
      </c>
      <c r="L21" s="53"/>
      <c r="M21" s="53"/>
    </row>
    <row r="22" spans="1:13" x14ac:dyDescent="0.3">
      <c r="A22" s="89" t="s">
        <v>124</v>
      </c>
      <c r="B22" s="73" t="s">
        <v>77</v>
      </c>
      <c r="C22" s="62">
        <v>0</v>
      </c>
      <c r="L22" s="53"/>
      <c r="M22" s="53"/>
    </row>
    <row r="23" spans="1:13" x14ac:dyDescent="0.3">
      <c r="A23" s="89" t="s">
        <v>125</v>
      </c>
      <c r="B23" s="73" t="s">
        <v>75</v>
      </c>
      <c r="C23" s="63">
        <v>11</v>
      </c>
      <c r="L23" s="53"/>
      <c r="M23" s="53"/>
    </row>
    <row r="24" spans="1:13" x14ac:dyDescent="0.3">
      <c r="A24" s="89" t="s">
        <v>126</v>
      </c>
      <c r="B24" s="73" t="s">
        <v>68</v>
      </c>
      <c r="C24" s="64">
        <v>0</v>
      </c>
      <c r="L24" s="53"/>
      <c r="M24" s="53"/>
    </row>
    <row r="25" spans="1:13" x14ac:dyDescent="0.3">
      <c r="A25" s="89" t="s">
        <v>127</v>
      </c>
      <c r="B25" s="73" t="s">
        <v>69</v>
      </c>
      <c r="C25" s="64">
        <v>0</v>
      </c>
      <c r="E25" s="50"/>
      <c r="F25" s="50"/>
      <c r="G25" s="50"/>
      <c r="H25" s="50"/>
      <c r="I25" s="50"/>
      <c r="J25" s="50"/>
      <c r="L25" s="53"/>
      <c r="M25" s="53"/>
    </row>
    <row r="26" spans="1:13" x14ac:dyDescent="0.3">
      <c r="A26" s="89" t="s">
        <v>128</v>
      </c>
      <c r="B26" s="73" t="s">
        <v>70</v>
      </c>
      <c r="C26" s="64">
        <v>98</v>
      </c>
      <c r="K26" s="50"/>
    </row>
    <row r="27" spans="1:13" x14ac:dyDescent="0.3">
      <c r="A27" s="89" t="s">
        <v>129</v>
      </c>
      <c r="B27" s="73" t="s">
        <v>71</v>
      </c>
      <c r="C27" s="64">
        <v>240</v>
      </c>
      <c r="K27" s="50"/>
    </row>
    <row r="28" spans="1:13" x14ac:dyDescent="0.3">
      <c r="A28" s="89" t="s">
        <v>130</v>
      </c>
      <c r="B28" s="73" t="s">
        <v>72</v>
      </c>
      <c r="C28" s="64">
        <v>150.80000000000001</v>
      </c>
      <c r="K28" s="50"/>
    </row>
    <row r="29" spans="1:13" x14ac:dyDescent="0.3">
      <c r="A29" s="89" t="s">
        <v>131</v>
      </c>
      <c r="B29" s="73" t="s">
        <v>73</v>
      </c>
      <c r="C29" s="64">
        <v>0</v>
      </c>
      <c r="F29" s="50"/>
      <c r="K29" s="50"/>
    </row>
    <row r="30" spans="1:13" x14ac:dyDescent="0.3">
      <c r="A30" s="88" t="s">
        <v>132</v>
      </c>
      <c r="B30" s="75" t="s">
        <v>82</v>
      </c>
      <c r="C30" s="59">
        <v>0.02</v>
      </c>
      <c r="K30" s="50"/>
    </row>
    <row r="31" spans="1:13" x14ac:dyDescent="0.3">
      <c r="A31" s="74"/>
      <c r="B31" s="72" t="s">
        <v>40</v>
      </c>
      <c r="C31" s="62">
        <v>0.99999990000000005</v>
      </c>
      <c r="K31" s="50"/>
    </row>
    <row r="32" spans="1:13" x14ac:dyDescent="0.3">
      <c r="A32" s="74"/>
      <c r="B32" s="73" t="s">
        <v>25</v>
      </c>
      <c r="C32" s="56" t="s">
        <v>63</v>
      </c>
      <c r="E32" s="68"/>
      <c r="K32" s="50"/>
    </row>
    <row r="33" spans="1:11" x14ac:dyDescent="0.3">
      <c r="A33" s="74"/>
      <c r="B33" s="73" t="s">
        <v>65</v>
      </c>
      <c r="C33" s="56" t="s">
        <v>66</v>
      </c>
      <c r="K33" s="50"/>
    </row>
    <row r="34" spans="1:11" x14ac:dyDescent="0.3">
      <c r="A34" s="76"/>
      <c r="B34" s="75" t="s">
        <v>67</v>
      </c>
      <c r="C34" s="69">
        <v>43831</v>
      </c>
      <c r="K34" s="50"/>
    </row>
    <row r="35" spans="1:11" x14ac:dyDescent="0.3">
      <c r="A35" s="89" t="s">
        <v>133</v>
      </c>
      <c r="B35" s="73" t="s">
        <v>84</v>
      </c>
      <c r="C35" s="62">
        <v>0.05</v>
      </c>
      <c r="K35" s="50"/>
    </row>
    <row r="36" spans="1:11" x14ac:dyDescent="0.3">
      <c r="A36" s="89" t="s">
        <v>134</v>
      </c>
      <c r="B36" s="73" t="s">
        <v>85</v>
      </c>
      <c r="C36" s="62">
        <v>0.04</v>
      </c>
      <c r="K36" s="50"/>
    </row>
    <row r="37" spans="1:11" x14ac:dyDescent="0.3">
      <c r="A37" s="89" t="s">
        <v>135</v>
      </c>
      <c r="B37" s="73" t="s">
        <v>83</v>
      </c>
      <c r="C37" s="62">
        <v>0.26</v>
      </c>
      <c r="K37" s="50"/>
    </row>
    <row r="38" spans="1:11" x14ac:dyDescent="0.3">
      <c r="A38" s="89" t="s">
        <v>136</v>
      </c>
      <c r="B38" s="72" t="s">
        <v>31</v>
      </c>
      <c r="C38" s="56">
        <v>20</v>
      </c>
      <c r="K38" s="50"/>
    </row>
    <row r="39" spans="1:11" x14ac:dyDescent="0.3">
      <c r="A39" s="88" t="s">
        <v>137</v>
      </c>
      <c r="B39" s="73" t="s">
        <v>81</v>
      </c>
      <c r="C39" s="62">
        <v>3.5000000000000003E-2</v>
      </c>
      <c r="K39" s="50"/>
    </row>
    <row r="40" spans="1:11" x14ac:dyDescent="0.3">
      <c r="A40" s="94" t="s">
        <v>138</v>
      </c>
      <c r="B40" s="80" t="s">
        <v>107</v>
      </c>
      <c r="C40" s="70" t="b">
        <v>0</v>
      </c>
      <c r="K40" s="50"/>
    </row>
    <row r="41" spans="1:11" x14ac:dyDescent="0.3">
      <c r="K41" s="50"/>
    </row>
    <row r="42" spans="1:11" x14ac:dyDescent="0.3">
      <c r="K42" s="50"/>
    </row>
  </sheetData>
  <hyperlinks>
    <hyperlink ref="E14" r:id="rId1" xr:uid="{9B788120-B165-49F0-8D9A-8B1D87ACE2E8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Transfer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335280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CFAE-DDD7-4D16-A232-0480CB06C194}">
  <sheetPr codeName="Tabelle6"/>
  <dimension ref="A1:O42"/>
  <sheetViews>
    <sheetView tabSelected="1" workbookViewId="0">
      <selection activeCell="C39" sqref="C39"/>
    </sheetView>
  </sheetViews>
  <sheetFormatPr defaultColWidth="11" defaultRowHeight="14.4" x14ac:dyDescent="0.3"/>
  <cols>
    <col min="1" max="1" width="88.8984375" style="48" customWidth="1"/>
    <col min="2" max="2" width="31.09765625" style="48" hidden="1" customWidth="1"/>
    <col min="3" max="4" width="11" style="48"/>
    <col min="5" max="5" width="16.69921875" style="48" customWidth="1"/>
    <col min="6" max="7" width="11" style="48"/>
    <col min="8" max="8" width="12.5" style="48" bestFit="1" customWidth="1"/>
    <col min="9" max="10" width="11" style="48"/>
    <col min="11" max="12" width="11" style="86"/>
    <col min="13" max="16384" width="11" style="48"/>
  </cols>
  <sheetData>
    <row r="1" spans="1:15" x14ac:dyDescent="0.3">
      <c r="A1" s="88" t="s">
        <v>109</v>
      </c>
      <c r="B1" s="71" t="s">
        <v>22</v>
      </c>
      <c r="C1" s="47" t="s">
        <v>23</v>
      </c>
      <c r="E1" s="71" t="s">
        <v>25</v>
      </c>
      <c r="F1" s="47" t="s">
        <v>23</v>
      </c>
      <c r="K1" s="83"/>
      <c r="L1" s="83"/>
    </row>
    <row r="2" spans="1:15" s="50" customFormat="1" x14ac:dyDescent="0.3">
      <c r="A2" s="89" t="s">
        <v>110</v>
      </c>
      <c r="B2" s="72" t="s">
        <v>28</v>
      </c>
      <c r="C2" s="49">
        <v>44986</v>
      </c>
      <c r="E2" s="72" t="s">
        <v>30</v>
      </c>
      <c r="F2" s="51">
        <v>9.9999999999999995E-8</v>
      </c>
      <c r="K2" s="83"/>
      <c r="L2" s="84"/>
      <c r="N2" s="53"/>
      <c r="O2" s="53"/>
    </row>
    <row r="3" spans="1:15" s="50" customFormat="1" x14ac:dyDescent="0.3">
      <c r="A3" s="90" t="s">
        <v>139</v>
      </c>
      <c r="B3" s="78" t="s">
        <v>140</v>
      </c>
      <c r="C3" s="49">
        <v>44986</v>
      </c>
      <c r="E3" s="72" t="s">
        <v>33</v>
      </c>
      <c r="F3" s="54">
        <v>120</v>
      </c>
      <c r="K3" s="83"/>
      <c r="L3" s="84"/>
      <c r="N3" s="53"/>
      <c r="O3" s="53"/>
    </row>
    <row r="4" spans="1:15" s="50" customFormat="1" x14ac:dyDescent="0.3">
      <c r="A4" s="89" t="s">
        <v>108</v>
      </c>
      <c r="B4" s="72" t="s">
        <v>106</v>
      </c>
      <c r="C4" s="49">
        <v>44986</v>
      </c>
      <c r="E4" s="72" t="s">
        <v>36</v>
      </c>
      <c r="F4" s="51">
        <v>9.9999999999999995E-8</v>
      </c>
      <c r="K4" s="83"/>
      <c r="L4" s="84"/>
      <c r="N4" s="53"/>
      <c r="O4" s="53"/>
    </row>
    <row r="5" spans="1:15" s="50" customFormat="1" x14ac:dyDescent="0.3">
      <c r="A5" s="89" t="s">
        <v>111</v>
      </c>
      <c r="B5" s="73" t="s">
        <v>56</v>
      </c>
      <c r="C5" s="56">
        <v>4.5599999999999996</v>
      </c>
      <c r="E5" s="77" t="s">
        <v>39</v>
      </c>
      <c r="F5" s="57">
        <v>180</v>
      </c>
      <c r="K5" s="83"/>
      <c r="L5" s="84"/>
      <c r="N5" s="53"/>
      <c r="O5" s="53"/>
    </row>
    <row r="6" spans="1:15" s="50" customFormat="1" x14ac:dyDescent="0.3">
      <c r="A6" s="89" t="s">
        <v>112</v>
      </c>
      <c r="B6" s="73" t="s">
        <v>58</v>
      </c>
      <c r="C6" s="58">
        <v>1300</v>
      </c>
      <c r="D6" s="48"/>
      <c r="E6" s="83"/>
      <c r="F6" s="83"/>
      <c r="K6" s="83"/>
      <c r="L6" s="84"/>
      <c r="N6" s="53"/>
      <c r="O6" s="53"/>
    </row>
    <row r="7" spans="1:15" s="50" customFormat="1" x14ac:dyDescent="0.3">
      <c r="A7" s="90" t="s">
        <v>142</v>
      </c>
      <c r="B7" s="73" t="s">
        <v>78</v>
      </c>
      <c r="C7" s="58">
        <v>3000</v>
      </c>
      <c r="E7" s="83"/>
      <c r="F7" s="83"/>
      <c r="K7" s="83"/>
      <c r="L7" s="84"/>
      <c r="N7" s="53"/>
      <c r="O7" s="53"/>
    </row>
    <row r="8" spans="1:15" s="50" customFormat="1" x14ac:dyDescent="0.3">
      <c r="A8" s="90" t="s">
        <v>141</v>
      </c>
      <c r="B8" s="73" t="s">
        <v>61</v>
      </c>
      <c r="C8" s="56">
        <v>0.5</v>
      </c>
      <c r="E8" s="83"/>
      <c r="F8" s="83"/>
      <c r="K8" s="83"/>
      <c r="L8" s="84"/>
      <c r="N8" s="53"/>
      <c r="O8" s="53"/>
    </row>
    <row r="9" spans="1:15" s="50" customFormat="1" x14ac:dyDescent="0.3">
      <c r="A9" s="88" t="s">
        <v>113</v>
      </c>
      <c r="B9" s="77" t="s">
        <v>34</v>
      </c>
      <c r="C9" s="59">
        <v>5.0000000000000001E-3</v>
      </c>
      <c r="E9" s="83"/>
      <c r="F9" s="83"/>
      <c r="K9" s="83"/>
      <c r="L9" s="84"/>
      <c r="N9" s="53"/>
      <c r="O9" s="53"/>
    </row>
    <row r="10" spans="1:15" x14ac:dyDescent="0.3">
      <c r="A10" s="100" t="s">
        <v>152</v>
      </c>
      <c r="B10" s="71" t="s">
        <v>80</v>
      </c>
      <c r="C10" s="60">
        <v>0.3</v>
      </c>
      <c r="E10" s="83"/>
      <c r="F10" s="83"/>
      <c r="K10" s="83"/>
      <c r="L10" s="84"/>
      <c r="N10" s="53"/>
      <c r="O10" s="53"/>
    </row>
    <row r="11" spans="1:15" x14ac:dyDescent="0.3">
      <c r="A11" s="89" t="s">
        <v>116</v>
      </c>
      <c r="B11" s="72" t="s">
        <v>37</v>
      </c>
      <c r="C11" s="58">
        <f>15000-1600</f>
        <v>13400</v>
      </c>
      <c r="E11" s="83"/>
      <c r="F11" s="83"/>
      <c r="K11" s="83"/>
      <c r="L11" s="84"/>
      <c r="N11" s="53"/>
      <c r="O11" s="53"/>
    </row>
    <row r="12" spans="1:15" x14ac:dyDescent="0.3">
      <c r="A12" s="89" t="s">
        <v>117</v>
      </c>
      <c r="B12" s="72" t="s">
        <v>44</v>
      </c>
      <c r="C12" s="58">
        <v>0</v>
      </c>
      <c r="E12" s="83"/>
      <c r="F12" s="83"/>
      <c r="K12" s="83"/>
      <c r="L12" s="84"/>
      <c r="N12" s="53"/>
      <c r="O12" s="53"/>
    </row>
    <row r="13" spans="1:15" x14ac:dyDescent="0.3">
      <c r="A13" s="89" t="s">
        <v>118</v>
      </c>
      <c r="B13" s="72" t="s">
        <v>46</v>
      </c>
      <c r="C13" s="58">
        <v>0</v>
      </c>
      <c r="E13" s="83"/>
      <c r="F13" s="83"/>
      <c r="K13" s="83"/>
      <c r="L13" s="84"/>
      <c r="N13" s="53"/>
      <c r="O13" s="53"/>
    </row>
    <row r="14" spans="1:15" x14ac:dyDescent="0.3">
      <c r="A14" s="89" t="s">
        <v>119</v>
      </c>
      <c r="B14" s="73" t="s">
        <v>48</v>
      </c>
      <c r="C14" s="58">
        <v>0</v>
      </c>
      <c r="E14" s="83"/>
      <c r="F14" s="83"/>
      <c r="K14" s="83"/>
      <c r="L14" s="84"/>
      <c r="N14" s="53"/>
      <c r="O14" s="53"/>
    </row>
    <row r="15" spans="1:15" x14ac:dyDescent="0.3">
      <c r="A15" s="89" t="s">
        <v>120</v>
      </c>
      <c r="B15" s="73" t="s">
        <v>50</v>
      </c>
      <c r="C15" s="58">
        <v>0</v>
      </c>
      <c r="E15" s="83"/>
      <c r="F15" s="83"/>
      <c r="K15" s="83"/>
      <c r="L15" s="84"/>
      <c r="N15" s="53"/>
      <c r="O15" s="53"/>
    </row>
    <row r="16" spans="1:15" x14ac:dyDescent="0.3">
      <c r="A16" s="90" t="s">
        <v>144</v>
      </c>
      <c r="B16" s="78" t="s">
        <v>145</v>
      </c>
      <c r="C16" s="58">
        <v>0</v>
      </c>
      <c r="E16" s="83"/>
      <c r="F16" s="83"/>
      <c r="K16" s="83"/>
      <c r="L16" s="84"/>
      <c r="N16" s="53"/>
      <c r="O16" s="53"/>
    </row>
    <row r="17" spans="1:15" x14ac:dyDescent="0.3">
      <c r="A17" s="90" t="s">
        <v>146</v>
      </c>
      <c r="B17" s="73" t="s">
        <v>52</v>
      </c>
      <c r="C17" s="58">
        <v>0</v>
      </c>
      <c r="E17" s="83"/>
      <c r="F17" s="83"/>
      <c r="K17" s="83"/>
      <c r="L17" s="84"/>
      <c r="N17" s="53"/>
      <c r="O17" s="53"/>
    </row>
    <row r="18" spans="1:15" x14ac:dyDescent="0.3">
      <c r="A18" s="90" t="s">
        <v>147</v>
      </c>
      <c r="B18" s="73" t="s">
        <v>54</v>
      </c>
      <c r="C18" s="58">
        <v>250</v>
      </c>
      <c r="E18" s="83"/>
      <c r="F18" s="83"/>
      <c r="K18" s="83"/>
      <c r="L18" s="84"/>
      <c r="N18" s="53"/>
      <c r="O18" s="53"/>
    </row>
    <row r="19" spans="1:15" x14ac:dyDescent="0.3">
      <c r="A19" s="88" t="s">
        <v>121</v>
      </c>
      <c r="B19" s="72" t="s">
        <v>42</v>
      </c>
      <c r="C19" s="58">
        <v>0</v>
      </c>
      <c r="K19" s="83"/>
      <c r="L19" s="84"/>
      <c r="N19" s="53"/>
      <c r="O19" s="53"/>
    </row>
    <row r="20" spans="1:15" x14ac:dyDescent="0.3">
      <c r="A20" s="89" t="s">
        <v>122</v>
      </c>
      <c r="B20" s="79" t="s">
        <v>74</v>
      </c>
      <c r="C20" s="61">
        <v>2.8</v>
      </c>
      <c r="K20" s="83"/>
      <c r="L20" s="84"/>
      <c r="N20" s="53"/>
      <c r="O20" s="53"/>
    </row>
    <row r="21" spans="1:15" x14ac:dyDescent="0.3">
      <c r="A21" s="89" t="s">
        <v>123</v>
      </c>
      <c r="B21" s="73" t="s">
        <v>76</v>
      </c>
      <c r="C21" s="62">
        <v>0.02</v>
      </c>
      <c r="K21" s="83"/>
      <c r="L21" s="84"/>
      <c r="N21" s="53"/>
      <c r="O21" s="53"/>
    </row>
    <row r="22" spans="1:15" x14ac:dyDescent="0.3">
      <c r="A22" s="89" t="s">
        <v>124</v>
      </c>
      <c r="B22" s="73" t="s">
        <v>77</v>
      </c>
      <c r="C22" s="62">
        <v>0</v>
      </c>
      <c r="K22" s="83"/>
      <c r="L22" s="84"/>
      <c r="N22" s="53"/>
      <c r="O22" s="53"/>
    </row>
    <row r="23" spans="1:15" x14ac:dyDescent="0.3">
      <c r="A23" s="89" t="s">
        <v>125</v>
      </c>
      <c r="B23" s="73" t="s">
        <v>75</v>
      </c>
      <c r="C23" s="63">
        <v>0</v>
      </c>
      <c r="K23" s="83"/>
      <c r="L23" s="84"/>
      <c r="N23" s="53"/>
      <c r="O23" s="53"/>
    </row>
    <row r="24" spans="1:15" x14ac:dyDescent="0.3">
      <c r="A24" s="89" t="s">
        <v>126</v>
      </c>
      <c r="B24" s="73" t="s">
        <v>68</v>
      </c>
      <c r="C24" s="64">
        <v>0</v>
      </c>
      <c r="K24" s="83"/>
      <c r="L24" s="84"/>
      <c r="N24" s="53"/>
      <c r="O24" s="53"/>
    </row>
    <row r="25" spans="1:15" x14ac:dyDescent="0.3">
      <c r="A25" s="89" t="s">
        <v>127</v>
      </c>
      <c r="B25" s="73" t="s">
        <v>69</v>
      </c>
      <c r="C25" s="64">
        <v>0</v>
      </c>
      <c r="E25" s="50"/>
      <c r="F25" s="50"/>
      <c r="G25" s="50"/>
      <c r="H25" s="50"/>
      <c r="I25" s="50"/>
      <c r="J25" s="50"/>
      <c r="K25" s="83"/>
      <c r="L25" s="84"/>
      <c r="N25" s="53"/>
      <c r="O25" s="53"/>
    </row>
    <row r="26" spans="1:15" x14ac:dyDescent="0.3">
      <c r="A26" s="89" t="s">
        <v>128</v>
      </c>
      <c r="B26" s="73" t="s">
        <v>70</v>
      </c>
      <c r="C26" s="64">
        <v>0</v>
      </c>
      <c r="K26" s="85"/>
    </row>
    <row r="27" spans="1:15" x14ac:dyDescent="0.3">
      <c r="A27" s="89" t="s">
        <v>129</v>
      </c>
      <c r="B27" s="73" t="s">
        <v>71</v>
      </c>
      <c r="C27" s="64">
        <v>0</v>
      </c>
      <c r="K27" s="85"/>
    </row>
    <row r="28" spans="1:15" x14ac:dyDescent="0.3">
      <c r="A28" s="89" t="s">
        <v>130</v>
      </c>
      <c r="B28" s="73" t="s">
        <v>72</v>
      </c>
      <c r="C28" s="64">
        <v>0</v>
      </c>
      <c r="K28" s="85"/>
    </row>
    <row r="29" spans="1:15" x14ac:dyDescent="0.3">
      <c r="A29" s="89" t="s">
        <v>131</v>
      </c>
      <c r="B29" s="73" t="s">
        <v>73</v>
      </c>
      <c r="C29" s="64">
        <v>0</v>
      </c>
      <c r="E29" s="66"/>
      <c r="F29" s="50"/>
      <c r="K29" s="85"/>
    </row>
    <row r="30" spans="1:15" x14ac:dyDescent="0.3">
      <c r="A30" s="88" t="s">
        <v>132</v>
      </c>
      <c r="B30" s="75" t="s">
        <v>82</v>
      </c>
      <c r="C30" s="59">
        <v>0.05</v>
      </c>
      <c r="K30" s="85"/>
    </row>
    <row r="31" spans="1:15" ht="15.6" x14ac:dyDescent="0.3">
      <c r="A31" s="74"/>
      <c r="B31" s="72" t="s">
        <v>40</v>
      </c>
      <c r="C31" s="62">
        <v>0.99999999999989997</v>
      </c>
      <c r="E31" s="67"/>
      <c r="K31" s="85"/>
    </row>
    <row r="32" spans="1:15" x14ac:dyDescent="0.3">
      <c r="A32" s="74"/>
      <c r="B32" s="73" t="s">
        <v>25</v>
      </c>
      <c r="C32" s="56" t="s">
        <v>63</v>
      </c>
      <c r="E32" s="68"/>
      <c r="K32" s="85"/>
    </row>
    <row r="33" spans="1:11" x14ac:dyDescent="0.3">
      <c r="A33" s="74"/>
      <c r="B33" s="73" t="s">
        <v>65</v>
      </c>
      <c r="C33" s="56" t="s">
        <v>66</v>
      </c>
      <c r="K33" s="85"/>
    </row>
    <row r="34" spans="1:11" x14ac:dyDescent="0.3">
      <c r="A34" s="76"/>
      <c r="B34" s="75" t="s">
        <v>67</v>
      </c>
      <c r="C34" s="69">
        <v>44986</v>
      </c>
      <c r="K34" s="85"/>
    </row>
    <row r="35" spans="1:11" x14ac:dyDescent="0.3">
      <c r="A35" s="89" t="s">
        <v>133</v>
      </c>
      <c r="B35" s="73" t="s">
        <v>84</v>
      </c>
      <c r="C35" s="62">
        <v>0</v>
      </c>
      <c r="K35" s="85"/>
    </row>
    <row r="36" spans="1:11" x14ac:dyDescent="0.3">
      <c r="A36" s="89" t="s">
        <v>134</v>
      </c>
      <c r="B36" s="73" t="s">
        <v>85</v>
      </c>
      <c r="C36" s="62">
        <v>0</v>
      </c>
      <c r="K36" s="85"/>
    </row>
    <row r="37" spans="1:11" x14ac:dyDescent="0.3">
      <c r="A37" s="89" t="s">
        <v>135</v>
      </c>
      <c r="B37" s="73" t="s">
        <v>83</v>
      </c>
      <c r="C37" s="62">
        <v>0.25</v>
      </c>
      <c r="K37" s="85"/>
    </row>
    <row r="38" spans="1:11" x14ac:dyDescent="0.3">
      <c r="A38" s="89" t="s">
        <v>136</v>
      </c>
      <c r="B38" s="72" t="s">
        <v>31</v>
      </c>
      <c r="C38" s="56">
        <v>30</v>
      </c>
      <c r="K38" s="85"/>
    </row>
    <row r="39" spans="1:11" x14ac:dyDescent="0.3">
      <c r="A39" s="88" t="s">
        <v>137</v>
      </c>
      <c r="B39" s="73" t="s">
        <v>81</v>
      </c>
      <c r="C39" s="62">
        <v>3.5000000000000003E-2</v>
      </c>
      <c r="K39" s="85"/>
    </row>
    <row r="40" spans="1:11" x14ac:dyDescent="0.3">
      <c r="A40" s="94" t="s">
        <v>138</v>
      </c>
      <c r="B40" s="80" t="s">
        <v>107</v>
      </c>
      <c r="C40" s="70" t="b">
        <v>1</v>
      </c>
      <c r="K40" s="85"/>
    </row>
    <row r="41" spans="1:11" x14ac:dyDescent="0.3">
      <c r="K41" s="85"/>
    </row>
    <row r="42" spans="1:11" x14ac:dyDescent="0.3">
      <c r="K42" s="85"/>
    </row>
  </sheetData>
  <sheetProtection sheet="1" objects="1" scenarios="1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ransfer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335280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0A094-A5A8-4009-81DA-1E4F4A17BFDD}">
  <sheetPr codeName="Tabelle7"/>
  <dimension ref="A1:O42"/>
  <sheetViews>
    <sheetView workbookViewId="0">
      <selection activeCell="E26" sqref="E26"/>
    </sheetView>
  </sheetViews>
  <sheetFormatPr defaultColWidth="11" defaultRowHeight="14.4" x14ac:dyDescent="0.3"/>
  <cols>
    <col min="1" max="1" width="88.8984375" style="48" customWidth="1"/>
    <col min="2" max="2" width="31.09765625" style="48" hidden="1" customWidth="1"/>
    <col min="3" max="4" width="11" style="48"/>
    <col min="5" max="5" width="16.69921875" style="48" customWidth="1"/>
    <col min="6" max="7" width="11" style="48"/>
    <col min="8" max="8" width="12.5" style="48" bestFit="1" customWidth="1"/>
    <col min="9" max="16384" width="11" style="48"/>
  </cols>
  <sheetData>
    <row r="1" spans="1:15" x14ac:dyDescent="0.3">
      <c r="A1" s="104" t="s">
        <v>109</v>
      </c>
      <c r="B1" s="71" t="s">
        <v>22</v>
      </c>
      <c r="C1" s="47" t="s">
        <v>23</v>
      </c>
      <c r="E1" s="71" t="s">
        <v>25</v>
      </c>
      <c r="F1" s="47" t="s">
        <v>23</v>
      </c>
      <c r="K1" s="87"/>
      <c r="L1" s="87"/>
    </row>
    <row r="2" spans="1:15" s="50" customFormat="1" x14ac:dyDescent="0.3">
      <c r="A2" s="103" t="s">
        <v>110</v>
      </c>
      <c r="B2" s="72" t="s">
        <v>28</v>
      </c>
      <c r="C2" s="49">
        <v>43282</v>
      </c>
      <c r="E2" s="72" t="s">
        <v>30</v>
      </c>
      <c r="F2" s="51">
        <v>1.7500000000000002E-2</v>
      </c>
      <c r="K2" s="87"/>
      <c r="L2" s="95"/>
      <c r="N2" s="53"/>
      <c r="O2" s="53"/>
    </row>
    <row r="3" spans="1:15" s="50" customFormat="1" x14ac:dyDescent="0.3">
      <c r="A3" s="103" t="s">
        <v>157</v>
      </c>
      <c r="B3" s="78" t="s">
        <v>140</v>
      </c>
      <c r="C3" s="49">
        <v>43282</v>
      </c>
      <c r="E3" s="72" t="s">
        <v>33</v>
      </c>
      <c r="F3" s="54">
        <v>120</v>
      </c>
      <c r="K3" s="87"/>
      <c r="L3" s="95"/>
      <c r="N3" s="53"/>
      <c r="O3" s="53"/>
    </row>
    <row r="4" spans="1:15" s="50" customFormat="1" x14ac:dyDescent="0.3">
      <c r="A4" s="105" t="s">
        <v>108</v>
      </c>
      <c r="B4" s="72" t="s">
        <v>106</v>
      </c>
      <c r="C4" s="49">
        <v>43282</v>
      </c>
      <c r="E4" s="72" t="s">
        <v>36</v>
      </c>
      <c r="F4" s="51">
        <v>0.03</v>
      </c>
      <c r="K4" s="87"/>
      <c r="L4" s="95"/>
      <c r="N4" s="53"/>
      <c r="O4" s="53"/>
    </row>
    <row r="5" spans="1:15" s="50" customFormat="1" x14ac:dyDescent="0.3">
      <c r="A5" s="89" t="s">
        <v>111</v>
      </c>
      <c r="B5" s="73" t="s">
        <v>56</v>
      </c>
      <c r="C5" s="56">
        <v>749.25</v>
      </c>
      <c r="E5" s="77" t="s">
        <v>39</v>
      </c>
      <c r="F5" s="57">
        <v>180</v>
      </c>
      <c r="K5" s="87"/>
      <c r="L5" s="95"/>
      <c r="N5" s="53"/>
      <c r="O5" s="53"/>
    </row>
    <row r="6" spans="1:15" s="50" customFormat="1" x14ac:dyDescent="0.3">
      <c r="A6" s="89" t="s">
        <v>112</v>
      </c>
      <c r="B6" s="73" t="s">
        <v>58</v>
      </c>
      <c r="C6" s="58">
        <v>1192.97</v>
      </c>
      <c r="D6" s="48"/>
      <c r="E6" s="87"/>
      <c r="F6" s="87"/>
      <c r="K6" s="87"/>
      <c r="L6" s="95"/>
      <c r="N6" s="53"/>
      <c r="O6" s="53"/>
    </row>
    <row r="7" spans="1:15" s="50" customFormat="1" x14ac:dyDescent="0.3">
      <c r="A7" s="90" t="s">
        <v>142</v>
      </c>
      <c r="B7" s="73" t="s">
        <v>78</v>
      </c>
      <c r="C7" s="58">
        <v>0</v>
      </c>
      <c r="E7" s="87"/>
      <c r="F7" s="87"/>
      <c r="K7" s="87"/>
      <c r="L7" s="95"/>
      <c r="N7" s="53"/>
      <c r="O7" s="53"/>
    </row>
    <row r="8" spans="1:15" s="50" customFormat="1" x14ac:dyDescent="0.3">
      <c r="A8" s="90" t="s">
        <v>141</v>
      </c>
      <c r="B8" s="73" t="s">
        <v>61</v>
      </c>
      <c r="C8" s="56">
        <v>0.75</v>
      </c>
      <c r="E8" s="87"/>
      <c r="F8" s="87"/>
      <c r="K8" s="87"/>
      <c r="L8" s="95"/>
      <c r="N8" s="53"/>
      <c r="O8" s="53"/>
    </row>
    <row r="9" spans="1:15" s="50" customFormat="1" x14ac:dyDescent="0.3">
      <c r="A9" s="88" t="s">
        <v>113</v>
      </c>
      <c r="B9" s="77" t="s">
        <v>34</v>
      </c>
      <c r="C9" s="59">
        <v>5.0000000000000001E-3</v>
      </c>
      <c r="E9" s="87"/>
      <c r="F9" s="87"/>
      <c r="K9" s="87"/>
      <c r="L9" s="95"/>
      <c r="N9" s="53"/>
      <c r="O9" s="53"/>
    </row>
    <row r="10" spans="1:15" x14ac:dyDescent="0.3">
      <c r="A10" s="98" t="s">
        <v>154</v>
      </c>
      <c r="B10" s="79" t="s">
        <v>80</v>
      </c>
      <c r="C10" s="96">
        <v>5.1999999999999998E-2</v>
      </c>
      <c r="E10" s="87"/>
      <c r="F10" s="87"/>
      <c r="K10" s="87"/>
      <c r="L10" s="95"/>
      <c r="N10" s="53"/>
      <c r="O10" s="53"/>
    </row>
    <row r="11" spans="1:15" x14ac:dyDescent="0.3">
      <c r="A11" s="91" t="s">
        <v>155</v>
      </c>
      <c r="B11" s="73"/>
      <c r="C11" s="81">
        <v>-5.0000000000000001E-3</v>
      </c>
      <c r="E11" s="87"/>
      <c r="F11" s="87"/>
      <c r="K11" s="87"/>
      <c r="L11" s="95"/>
      <c r="N11" s="53"/>
      <c r="O11" s="53"/>
    </row>
    <row r="12" spans="1:15" x14ac:dyDescent="0.3">
      <c r="A12" s="99" t="s">
        <v>156</v>
      </c>
      <c r="B12" s="75"/>
      <c r="C12" s="97">
        <v>3.6400000000000002E-2</v>
      </c>
      <c r="E12" s="87"/>
      <c r="F12" s="87"/>
      <c r="K12" s="87"/>
      <c r="L12" s="95"/>
      <c r="N12" s="53"/>
      <c r="O12" s="53"/>
    </row>
    <row r="13" spans="1:15" x14ac:dyDescent="0.3">
      <c r="A13" s="89" t="s">
        <v>116</v>
      </c>
      <c r="B13" s="72" t="s">
        <v>37</v>
      </c>
      <c r="C13" s="58">
        <v>655976</v>
      </c>
      <c r="E13" s="87"/>
      <c r="F13" s="87"/>
      <c r="K13" s="87"/>
      <c r="L13" s="95"/>
      <c r="N13" s="53"/>
      <c r="O13" s="53"/>
    </row>
    <row r="14" spans="1:15" x14ac:dyDescent="0.3">
      <c r="A14" s="89" t="s">
        <v>117</v>
      </c>
      <c r="B14" s="72" t="s">
        <v>44</v>
      </c>
      <c r="C14" s="58">
        <v>2000</v>
      </c>
      <c r="E14" s="87"/>
      <c r="F14" s="87"/>
      <c r="K14" s="87"/>
      <c r="L14" s="95"/>
      <c r="N14" s="53"/>
      <c r="O14" s="53"/>
    </row>
    <row r="15" spans="1:15" x14ac:dyDescent="0.3">
      <c r="A15" s="89" t="s">
        <v>118</v>
      </c>
      <c r="B15" s="72" t="s">
        <v>46</v>
      </c>
      <c r="C15" s="58">
        <v>0</v>
      </c>
      <c r="E15" s="87"/>
      <c r="F15" s="87"/>
      <c r="K15" s="87"/>
      <c r="L15" s="95"/>
      <c r="N15" s="53"/>
      <c r="O15" s="53"/>
    </row>
    <row r="16" spans="1:15" x14ac:dyDescent="0.3">
      <c r="A16" s="89" t="s">
        <v>119</v>
      </c>
      <c r="B16" s="73" t="s">
        <v>48</v>
      </c>
      <c r="C16" s="58">
        <v>0</v>
      </c>
      <c r="E16" s="87"/>
      <c r="F16" s="87"/>
      <c r="K16" s="87"/>
      <c r="L16" s="95"/>
      <c r="N16" s="53"/>
      <c r="O16" s="53"/>
    </row>
    <row r="17" spans="1:15" x14ac:dyDescent="0.3">
      <c r="A17" s="89" t="s">
        <v>120</v>
      </c>
      <c r="B17" s="73" t="s">
        <v>50</v>
      </c>
      <c r="C17" s="58">
        <v>0</v>
      </c>
      <c r="E17" s="87"/>
      <c r="F17" s="87"/>
      <c r="K17" s="87"/>
      <c r="L17" s="95"/>
      <c r="N17" s="53"/>
      <c r="O17" s="53"/>
    </row>
    <row r="18" spans="1:15" x14ac:dyDescent="0.3">
      <c r="A18" s="90" t="s">
        <v>144</v>
      </c>
      <c r="B18" s="78" t="s">
        <v>145</v>
      </c>
      <c r="C18" s="58">
        <v>0</v>
      </c>
      <c r="E18" s="87"/>
      <c r="F18" s="87"/>
      <c r="K18" s="87"/>
      <c r="L18" s="95"/>
      <c r="N18" s="53"/>
      <c r="O18" s="53"/>
    </row>
    <row r="19" spans="1:15" x14ac:dyDescent="0.3">
      <c r="A19" s="90" t="s">
        <v>146</v>
      </c>
      <c r="B19" s="73" t="s">
        <v>52</v>
      </c>
      <c r="C19" s="58">
        <v>43867</v>
      </c>
      <c r="K19" s="87"/>
      <c r="L19" s="95"/>
      <c r="N19" s="53"/>
      <c r="O19" s="53"/>
    </row>
    <row r="20" spans="1:15" x14ac:dyDescent="0.3">
      <c r="A20" s="90" t="s">
        <v>147</v>
      </c>
      <c r="B20" s="73" t="s">
        <v>54</v>
      </c>
      <c r="C20" s="58">
        <v>5000</v>
      </c>
      <c r="K20" s="87"/>
      <c r="L20" s="95"/>
      <c r="N20" s="53"/>
      <c r="O20" s="53"/>
    </row>
    <row r="21" spans="1:15" x14ac:dyDescent="0.3">
      <c r="A21" s="88" t="s">
        <v>121</v>
      </c>
      <c r="B21" s="72" t="s">
        <v>42</v>
      </c>
      <c r="C21" s="58">
        <v>0</v>
      </c>
      <c r="K21" s="87"/>
      <c r="L21" s="95"/>
      <c r="N21" s="53"/>
      <c r="O21" s="53"/>
    </row>
    <row r="22" spans="1:15" x14ac:dyDescent="0.3">
      <c r="A22" s="89" t="s">
        <v>122</v>
      </c>
      <c r="B22" s="79" t="s">
        <v>74</v>
      </c>
      <c r="C22" s="61">
        <v>1.5</v>
      </c>
      <c r="K22" s="87"/>
      <c r="L22" s="95"/>
      <c r="N22" s="53"/>
      <c r="O22" s="53"/>
    </row>
    <row r="23" spans="1:15" x14ac:dyDescent="0.3">
      <c r="A23" s="89" t="s">
        <v>123</v>
      </c>
      <c r="B23" s="73" t="s">
        <v>76</v>
      </c>
      <c r="C23" s="62">
        <v>0.02</v>
      </c>
      <c r="K23" s="87"/>
      <c r="L23" s="95"/>
      <c r="N23" s="53"/>
      <c r="O23" s="53"/>
    </row>
    <row r="24" spans="1:15" x14ac:dyDescent="0.3">
      <c r="A24" s="89" t="s">
        <v>124</v>
      </c>
      <c r="B24" s="73" t="s">
        <v>77</v>
      </c>
      <c r="C24" s="62">
        <v>0.04</v>
      </c>
      <c r="K24" s="87"/>
      <c r="L24" s="95"/>
      <c r="N24" s="53"/>
      <c r="O24" s="53"/>
    </row>
    <row r="25" spans="1:15" x14ac:dyDescent="0.3">
      <c r="A25" s="89" t="s">
        <v>125</v>
      </c>
      <c r="B25" s="73" t="s">
        <v>75</v>
      </c>
      <c r="C25" s="63">
        <v>6</v>
      </c>
      <c r="E25" s="50"/>
      <c r="F25" s="50"/>
      <c r="G25" s="50"/>
      <c r="H25" s="50"/>
      <c r="I25" s="50"/>
      <c r="J25" s="50"/>
      <c r="K25" s="87"/>
      <c r="L25" s="95"/>
      <c r="N25" s="53"/>
      <c r="O25" s="53"/>
    </row>
    <row r="26" spans="1:15" x14ac:dyDescent="0.3">
      <c r="A26" s="89" t="s">
        <v>126</v>
      </c>
      <c r="B26" s="73" t="s">
        <v>68</v>
      </c>
      <c r="C26" s="64">
        <v>500</v>
      </c>
      <c r="K26" s="50"/>
    </row>
    <row r="27" spans="1:15" x14ac:dyDescent="0.3">
      <c r="A27" s="89" t="s">
        <v>127</v>
      </c>
      <c r="B27" s="73" t="s">
        <v>69</v>
      </c>
      <c r="C27" s="64">
        <v>500</v>
      </c>
      <c r="K27" s="50"/>
    </row>
    <row r="28" spans="1:15" x14ac:dyDescent="0.3">
      <c r="A28" s="89" t="s">
        <v>128</v>
      </c>
      <c r="B28" s="73" t="s">
        <v>70</v>
      </c>
      <c r="C28" s="64">
        <v>0</v>
      </c>
      <c r="K28" s="50"/>
    </row>
    <row r="29" spans="1:15" x14ac:dyDescent="0.3">
      <c r="A29" s="89" t="s">
        <v>129</v>
      </c>
      <c r="B29" s="73" t="s">
        <v>71</v>
      </c>
      <c r="C29" s="64">
        <v>200</v>
      </c>
      <c r="E29" s="66"/>
      <c r="F29" s="50"/>
      <c r="K29" s="50"/>
    </row>
    <row r="30" spans="1:15" x14ac:dyDescent="0.3">
      <c r="A30" s="89" t="s">
        <v>130</v>
      </c>
      <c r="B30" s="73" t="s">
        <v>72</v>
      </c>
      <c r="C30" s="64">
        <v>5000</v>
      </c>
      <c r="K30" s="50"/>
    </row>
    <row r="31" spans="1:15" ht="15.6" x14ac:dyDescent="0.3">
      <c r="A31" s="89" t="s">
        <v>131</v>
      </c>
      <c r="B31" s="73" t="s">
        <v>73</v>
      </c>
      <c r="C31" s="64">
        <v>0</v>
      </c>
      <c r="E31" s="67"/>
      <c r="K31" s="50"/>
    </row>
    <row r="32" spans="1:15" x14ac:dyDescent="0.3">
      <c r="A32" s="88" t="s">
        <v>132</v>
      </c>
      <c r="B32" s="75" t="s">
        <v>82</v>
      </c>
      <c r="C32" s="59">
        <v>0.02</v>
      </c>
      <c r="E32" s="68"/>
      <c r="K32" s="50"/>
    </row>
    <row r="33" spans="1:11" x14ac:dyDescent="0.3">
      <c r="A33" s="74"/>
      <c r="B33" s="72" t="s">
        <v>40</v>
      </c>
      <c r="C33" s="62">
        <v>0.25</v>
      </c>
      <c r="K33" s="50"/>
    </row>
    <row r="34" spans="1:11" x14ac:dyDescent="0.3">
      <c r="A34" s="74"/>
      <c r="B34" s="73" t="s">
        <v>25</v>
      </c>
      <c r="C34" s="56" t="s">
        <v>63</v>
      </c>
      <c r="K34" s="50"/>
    </row>
    <row r="35" spans="1:11" x14ac:dyDescent="0.3">
      <c r="A35" s="74"/>
      <c r="B35" s="73" t="s">
        <v>65</v>
      </c>
      <c r="C35" s="56" t="s">
        <v>66</v>
      </c>
      <c r="K35" s="50"/>
    </row>
    <row r="36" spans="1:11" x14ac:dyDescent="0.3">
      <c r="A36" s="76"/>
      <c r="B36" s="75" t="s">
        <v>67</v>
      </c>
      <c r="C36" s="69">
        <v>43466</v>
      </c>
      <c r="K36" s="50"/>
    </row>
    <row r="37" spans="1:11" x14ac:dyDescent="0.3">
      <c r="A37" s="89" t="s">
        <v>133</v>
      </c>
      <c r="B37" s="73" t="s">
        <v>84</v>
      </c>
      <c r="C37" s="62">
        <v>0.04</v>
      </c>
      <c r="K37" s="50"/>
    </row>
    <row r="38" spans="1:11" x14ac:dyDescent="0.3">
      <c r="A38" s="89" t="s">
        <v>134</v>
      </c>
      <c r="B38" s="73" t="s">
        <v>85</v>
      </c>
      <c r="C38" s="62">
        <v>0.05</v>
      </c>
      <c r="K38" s="50"/>
    </row>
    <row r="39" spans="1:11" x14ac:dyDescent="0.3">
      <c r="A39" s="89" t="s">
        <v>135</v>
      </c>
      <c r="B39" s="73" t="s">
        <v>83</v>
      </c>
      <c r="C39" s="62">
        <v>0.26</v>
      </c>
      <c r="K39" s="50"/>
    </row>
    <row r="40" spans="1:11" x14ac:dyDescent="0.3">
      <c r="A40" s="89" t="s">
        <v>136</v>
      </c>
      <c r="B40" s="72" t="s">
        <v>31</v>
      </c>
      <c r="C40" s="56">
        <v>20</v>
      </c>
      <c r="K40" s="50"/>
    </row>
    <row r="41" spans="1:11" x14ac:dyDescent="0.3">
      <c r="A41" s="88" t="s">
        <v>137</v>
      </c>
      <c r="B41" s="73" t="s">
        <v>81</v>
      </c>
      <c r="C41" s="62">
        <v>3.5000000000000003E-2</v>
      </c>
      <c r="K41" s="50"/>
    </row>
    <row r="42" spans="1:11" x14ac:dyDescent="0.3">
      <c r="A42" s="94" t="s">
        <v>138</v>
      </c>
      <c r="B42" s="80" t="s">
        <v>107</v>
      </c>
      <c r="C42" s="70" t="b">
        <v>0</v>
      </c>
      <c r="K42" s="50"/>
    </row>
  </sheetData>
  <sheetProtection sheet="1" objects="1" scenarios="1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ransfer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335280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5A7D6-80BB-4C92-80FC-78FA2668F572}">
  <sheetPr codeName="Tabelle8"/>
  <dimension ref="A1:L42"/>
  <sheetViews>
    <sheetView workbookViewId="0">
      <selection activeCell="E19" sqref="E19"/>
    </sheetView>
  </sheetViews>
  <sheetFormatPr defaultColWidth="11" defaultRowHeight="14.4" x14ac:dyDescent="0.3"/>
  <cols>
    <col min="1" max="1" width="88.8984375" style="48" customWidth="1"/>
    <col min="2" max="2" width="31.09765625" style="48" hidden="1" customWidth="1"/>
    <col min="3" max="4" width="11" style="48"/>
    <col min="5" max="5" width="16.69921875" style="48" customWidth="1"/>
    <col min="6" max="7" width="11" style="48"/>
    <col min="8" max="8" width="12.5" style="48" bestFit="1" customWidth="1"/>
    <col min="9" max="16384" width="11" style="48"/>
  </cols>
  <sheetData>
    <row r="1" spans="1:12" x14ac:dyDescent="0.3">
      <c r="A1" s="88" t="s">
        <v>109</v>
      </c>
      <c r="B1" s="71" t="s">
        <v>22</v>
      </c>
      <c r="C1" s="47" t="s">
        <v>23</v>
      </c>
      <c r="E1" s="71" t="s">
        <v>25</v>
      </c>
      <c r="F1" s="47" t="s">
        <v>23</v>
      </c>
      <c r="H1" s="71" t="s">
        <v>26</v>
      </c>
      <c r="I1" s="47" t="s">
        <v>27</v>
      </c>
    </row>
    <row r="2" spans="1:12" s="50" customFormat="1" x14ac:dyDescent="0.3">
      <c r="A2" s="89" t="s">
        <v>110</v>
      </c>
      <c r="B2" s="72" t="s">
        <v>28</v>
      </c>
      <c r="C2" s="49">
        <v>43556</v>
      </c>
      <c r="E2" s="72" t="s">
        <v>30</v>
      </c>
      <c r="F2" s="51">
        <v>1.7500000000000002E-2</v>
      </c>
      <c r="H2" s="72">
        <v>9.9999999999999995E-7</v>
      </c>
      <c r="I2" s="52">
        <v>1</v>
      </c>
      <c r="J2" s="50">
        <v>1</v>
      </c>
      <c r="K2" s="53">
        <v>0</v>
      </c>
      <c r="L2" s="53">
        <v>0.25</v>
      </c>
    </row>
    <row r="3" spans="1:12" s="50" customFormat="1" x14ac:dyDescent="0.3">
      <c r="A3" s="90" t="s">
        <v>139</v>
      </c>
      <c r="B3" s="78" t="s">
        <v>140</v>
      </c>
      <c r="C3" s="49">
        <v>43739</v>
      </c>
      <c r="E3" s="72" t="s">
        <v>33</v>
      </c>
      <c r="F3" s="54">
        <v>120</v>
      </c>
      <c r="H3" s="72">
        <v>1E-3</v>
      </c>
      <c r="I3" s="55">
        <v>0.999</v>
      </c>
      <c r="J3" s="50">
        <v>0.999</v>
      </c>
      <c r="K3" s="53">
        <v>0</v>
      </c>
      <c r="L3" s="53">
        <v>0.25</v>
      </c>
    </row>
    <row r="4" spans="1:12" s="50" customFormat="1" x14ac:dyDescent="0.3">
      <c r="A4" s="89" t="s">
        <v>108</v>
      </c>
      <c r="B4" s="72" t="s">
        <v>106</v>
      </c>
      <c r="C4" s="49">
        <v>43739</v>
      </c>
      <c r="E4" s="72" t="s">
        <v>36</v>
      </c>
      <c r="F4" s="51">
        <v>0.03</v>
      </c>
      <c r="H4" s="72">
        <v>0.01</v>
      </c>
      <c r="I4" s="55">
        <v>0.995</v>
      </c>
      <c r="J4" s="50">
        <v>0.995</v>
      </c>
      <c r="K4" s="53">
        <v>0</v>
      </c>
      <c r="L4" s="53">
        <v>0.25</v>
      </c>
    </row>
    <row r="5" spans="1:12" s="50" customFormat="1" x14ac:dyDescent="0.3">
      <c r="A5" s="89" t="s">
        <v>111</v>
      </c>
      <c r="B5" s="73" t="s">
        <v>56</v>
      </c>
      <c r="C5" s="56">
        <v>21.8</v>
      </c>
      <c r="E5" s="77" t="s">
        <v>39</v>
      </c>
      <c r="F5" s="57">
        <v>180</v>
      </c>
      <c r="H5" s="72">
        <v>0.1</v>
      </c>
      <c r="I5" s="55">
        <v>0.93</v>
      </c>
      <c r="J5" s="50">
        <v>0.93</v>
      </c>
      <c r="K5" s="53">
        <v>0</v>
      </c>
      <c r="L5" s="53">
        <v>0.25</v>
      </c>
    </row>
    <row r="6" spans="1:12" s="50" customFormat="1" x14ac:dyDescent="0.3">
      <c r="A6" s="89" t="s">
        <v>112</v>
      </c>
      <c r="B6" s="73" t="s">
        <v>58</v>
      </c>
      <c r="C6" s="58">
        <v>1100</v>
      </c>
      <c r="D6" s="48"/>
      <c r="E6" s="87"/>
      <c r="F6" s="87"/>
      <c r="H6" s="72">
        <v>0.2</v>
      </c>
      <c r="I6" s="55">
        <v>0.88500000000000001</v>
      </c>
      <c r="J6" s="50">
        <v>0.88500000000000001</v>
      </c>
      <c r="K6" s="53">
        <v>0</v>
      </c>
      <c r="L6" s="53">
        <v>0.25</v>
      </c>
    </row>
    <row r="7" spans="1:12" s="50" customFormat="1" x14ac:dyDescent="0.3">
      <c r="A7" s="90" t="s">
        <v>142</v>
      </c>
      <c r="B7" s="73" t="s">
        <v>78</v>
      </c>
      <c r="C7" s="58">
        <v>35000</v>
      </c>
      <c r="E7" s="87"/>
      <c r="F7" s="87"/>
      <c r="H7" s="72">
        <v>0.3</v>
      </c>
      <c r="I7" s="55">
        <v>0.81499999999999995</v>
      </c>
      <c r="J7" s="50">
        <v>0.81499999999999995</v>
      </c>
      <c r="K7" s="53">
        <v>0</v>
      </c>
      <c r="L7" s="53">
        <v>0.25</v>
      </c>
    </row>
    <row r="8" spans="1:12" s="50" customFormat="1" x14ac:dyDescent="0.3">
      <c r="A8" s="90" t="s">
        <v>141</v>
      </c>
      <c r="B8" s="73" t="s">
        <v>61</v>
      </c>
      <c r="C8" s="56">
        <v>0.5</v>
      </c>
      <c r="E8" s="87"/>
      <c r="F8" s="87"/>
      <c r="H8" s="72">
        <v>0.4</v>
      </c>
      <c r="I8" s="55">
        <v>0.73</v>
      </c>
      <c r="J8" s="50">
        <v>0.73</v>
      </c>
      <c r="K8" s="53">
        <v>0</v>
      </c>
      <c r="L8" s="53">
        <v>0.25</v>
      </c>
    </row>
    <row r="9" spans="1:12" s="50" customFormat="1" x14ac:dyDescent="0.3">
      <c r="A9" s="88" t="s">
        <v>113</v>
      </c>
      <c r="B9" s="77" t="s">
        <v>34</v>
      </c>
      <c r="C9" s="59">
        <v>5.0000000000000001E-3</v>
      </c>
      <c r="E9" s="87"/>
      <c r="F9" s="87"/>
      <c r="H9" s="72">
        <v>0.5</v>
      </c>
      <c r="I9" s="55">
        <v>0.64500000000000002</v>
      </c>
      <c r="J9" s="50">
        <v>0.64500000000000002</v>
      </c>
      <c r="K9" s="53">
        <v>0</v>
      </c>
      <c r="L9" s="53">
        <v>0.25</v>
      </c>
    </row>
    <row r="10" spans="1:12" x14ac:dyDescent="0.3">
      <c r="A10" s="91" t="s">
        <v>115</v>
      </c>
      <c r="B10" s="73" t="s">
        <v>79</v>
      </c>
      <c r="C10" s="81">
        <v>0.1502</v>
      </c>
      <c r="E10" s="87"/>
      <c r="F10" s="87"/>
      <c r="H10" s="72">
        <v>0.6</v>
      </c>
      <c r="I10" s="55">
        <v>0.57999999999999996</v>
      </c>
      <c r="J10" s="48">
        <v>0.57999999999999996</v>
      </c>
      <c r="K10" s="53">
        <v>0</v>
      </c>
      <c r="L10" s="53">
        <v>0.25</v>
      </c>
    </row>
    <row r="11" spans="1:12" x14ac:dyDescent="0.3">
      <c r="A11" s="89" t="s">
        <v>153</v>
      </c>
      <c r="B11" s="73" t="s">
        <v>80</v>
      </c>
      <c r="C11" s="81">
        <v>0.1202</v>
      </c>
      <c r="E11" s="87"/>
      <c r="F11" s="87"/>
      <c r="H11" s="72">
        <v>0.7</v>
      </c>
      <c r="I11" s="55">
        <v>0.52500000000000002</v>
      </c>
      <c r="J11" s="48">
        <v>0.52500000000000002</v>
      </c>
      <c r="K11" s="53">
        <v>0</v>
      </c>
      <c r="L11" s="53">
        <v>0.25</v>
      </c>
    </row>
    <row r="12" spans="1:12" x14ac:dyDescent="0.3">
      <c r="A12" s="92" t="s">
        <v>150</v>
      </c>
      <c r="B12" s="93" t="s">
        <v>143</v>
      </c>
      <c r="C12" s="82">
        <v>1</v>
      </c>
      <c r="E12" s="87"/>
      <c r="F12" s="87"/>
      <c r="H12" s="72">
        <v>0.8</v>
      </c>
      <c r="I12" s="55">
        <v>0.48</v>
      </c>
      <c r="J12" s="48">
        <v>0.48</v>
      </c>
      <c r="K12" s="53">
        <v>0</v>
      </c>
      <c r="L12" s="53">
        <v>0.25</v>
      </c>
    </row>
    <row r="13" spans="1:12" x14ac:dyDescent="0.3">
      <c r="A13" s="89" t="s">
        <v>116</v>
      </c>
      <c r="B13" s="72" t="s">
        <v>37</v>
      </c>
      <c r="C13" s="58">
        <v>23980</v>
      </c>
      <c r="E13" s="87"/>
      <c r="F13" s="87"/>
      <c r="H13" s="72">
        <v>0.9</v>
      </c>
      <c r="I13" s="55">
        <v>0.44</v>
      </c>
      <c r="J13" s="48">
        <v>0.44</v>
      </c>
      <c r="K13" s="53">
        <v>0</v>
      </c>
      <c r="L13" s="53">
        <v>0.25</v>
      </c>
    </row>
    <row r="14" spans="1:12" x14ac:dyDescent="0.3">
      <c r="A14" s="89" t="s">
        <v>117</v>
      </c>
      <c r="B14" s="72" t="s">
        <v>44</v>
      </c>
      <c r="C14" s="58">
        <v>0</v>
      </c>
      <c r="E14" s="87"/>
      <c r="F14" s="87"/>
      <c r="H14" s="72">
        <v>1</v>
      </c>
      <c r="I14" s="55">
        <v>0.40699999999999997</v>
      </c>
      <c r="J14" s="48">
        <v>0.40699999999999997</v>
      </c>
      <c r="K14" s="53">
        <v>0</v>
      </c>
      <c r="L14" s="53">
        <v>0.25</v>
      </c>
    </row>
    <row r="15" spans="1:12" x14ac:dyDescent="0.3">
      <c r="A15" s="89" t="s">
        <v>118</v>
      </c>
      <c r="B15" s="72" t="s">
        <v>46</v>
      </c>
      <c r="C15" s="58">
        <v>0</v>
      </c>
      <c r="E15" s="87"/>
      <c r="F15" s="87"/>
      <c r="H15" s="72">
        <v>2</v>
      </c>
      <c r="I15" s="55">
        <v>0.23200000000000001</v>
      </c>
      <c r="J15" s="48">
        <v>0.23200000000000001</v>
      </c>
      <c r="K15" s="53">
        <v>0</v>
      </c>
      <c r="L15" s="53">
        <v>0.25</v>
      </c>
    </row>
    <row r="16" spans="1:12" x14ac:dyDescent="0.3">
      <c r="A16" s="89" t="s">
        <v>119</v>
      </c>
      <c r="B16" s="73" t="s">
        <v>48</v>
      </c>
      <c r="C16" s="58">
        <v>0</v>
      </c>
      <c r="E16" s="87"/>
      <c r="F16" s="87"/>
      <c r="H16" s="72">
        <v>3</v>
      </c>
      <c r="I16" s="55">
        <v>0.16300000000000001</v>
      </c>
      <c r="J16" s="48">
        <v>0.16300000000000001</v>
      </c>
      <c r="K16" s="53">
        <v>0</v>
      </c>
      <c r="L16" s="53">
        <v>0.25</v>
      </c>
    </row>
    <row r="17" spans="1:12" x14ac:dyDescent="0.3">
      <c r="A17" s="89" t="s">
        <v>120</v>
      </c>
      <c r="B17" s="73" t="s">
        <v>50</v>
      </c>
      <c r="C17" s="58">
        <v>0</v>
      </c>
      <c r="E17" s="87"/>
      <c r="F17" s="87"/>
      <c r="H17" s="72">
        <v>4</v>
      </c>
      <c r="I17" s="55">
        <v>0.125</v>
      </c>
      <c r="J17" s="48">
        <v>0.125</v>
      </c>
      <c r="K17" s="53">
        <v>0</v>
      </c>
      <c r="L17" s="53">
        <v>0.25</v>
      </c>
    </row>
    <row r="18" spans="1:12" x14ac:dyDescent="0.3">
      <c r="A18" s="90" t="s">
        <v>144</v>
      </c>
      <c r="B18" s="78" t="s">
        <v>145</v>
      </c>
      <c r="C18" s="58">
        <v>0</v>
      </c>
      <c r="E18" s="87"/>
      <c r="F18" s="87"/>
      <c r="H18" s="72">
        <v>5</v>
      </c>
      <c r="I18" s="55">
        <v>0.10150000000000001</v>
      </c>
      <c r="J18" s="48">
        <v>0.10150000000000001</v>
      </c>
      <c r="K18" s="53">
        <v>0</v>
      </c>
      <c r="L18" s="53">
        <v>0.25</v>
      </c>
    </row>
    <row r="19" spans="1:12" x14ac:dyDescent="0.3">
      <c r="A19" s="90" t="s">
        <v>146</v>
      </c>
      <c r="B19" s="73" t="s">
        <v>52</v>
      </c>
      <c r="C19" s="58">
        <v>0</v>
      </c>
      <c r="H19" s="72">
        <v>6</v>
      </c>
      <c r="I19" s="55">
        <v>8.5699999999999998E-2</v>
      </c>
      <c r="J19" s="48">
        <v>8.5699999999999998E-2</v>
      </c>
      <c r="K19" s="53">
        <v>0</v>
      </c>
      <c r="L19" s="53">
        <v>0.25</v>
      </c>
    </row>
    <row r="20" spans="1:12" x14ac:dyDescent="0.3">
      <c r="A20" s="90" t="s">
        <v>147</v>
      </c>
      <c r="B20" s="73" t="s">
        <v>54</v>
      </c>
      <c r="C20" s="58">
        <v>500</v>
      </c>
      <c r="H20" s="72">
        <v>7</v>
      </c>
      <c r="I20" s="55">
        <v>7.3999999999999996E-2</v>
      </c>
      <c r="J20" s="48">
        <v>7.3999999999999996E-2</v>
      </c>
      <c r="K20" s="53">
        <v>0</v>
      </c>
      <c r="L20" s="53">
        <v>0.25</v>
      </c>
    </row>
    <row r="21" spans="1:12" x14ac:dyDescent="0.3">
      <c r="A21" s="88" t="s">
        <v>121</v>
      </c>
      <c r="B21" s="72" t="s">
        <v>42</v>
      </c>
      <c r="C21" s="58">
        <v>0</v>
      </c>
      <c r="H21" s="72">
        <v>8</v>
      </c>
      <c r="I21" s="55">
        <v>6.5299999999999997E-2</v>
      </c>
      <c r="J21" s="48">
        <v>6.5299999999999997E-2</v>
      </c>
      <c r="K21" s="53">
        <v>0</v>
      </c>
      <c r="L21" s="53">
        <v>0.25</v>
      </c>
    </row>
    <row r="22" spans="1:12" x14ac:dyDescent="0.3">
      <c r="A22" s="89" t="s">
        <v>122</v>
      </c>
      <c r="B22" s="79" t="s">
        <v>74</v>
      </c>
      <c r="C22" s="61">
        <v>2.8</v>
      </c>
      <c r="H22" s="72">
        <v>9</v>
      </c>
      <c r="I22" s="55">
        <v>0.06</v>
      </c>
      <c r="J22" s="48">
        <v>0.06</v>
      </c>
      <c r="K22" s="53">
        <v>0</v>
      </c>
      <c r="L22" s="53">
        <v>0.25</v>
      </c>
    </row>
    <row r="23" spans="1:12" x14ac:dyDescent="0.3">
      <c r="A23" s="89" t="s">
        <v>123</v>
      </c>
      <c r="B23" s="73" t="s">
        <v>76</v>
      </c>
      <c r="C23" s="62">
        <v>0.02</v>
      </c>
      <c r="H23" s="72">
        <v>10</v>
      </c>
      <c r="I23" s="55">
        <v>5.5E-2</v>
      </c>
      <c r="J23" s="48">
        <v>5.5E-2</v>
      </c>
      <c r="K23" s="53">
        <v>0</v>
      </c>
      <c r="L23" s="53">
        <v>0.25</v>
      </c>
    </row>
    <row r="24" spans="1:12" x14ac:dyDescent="0.3">
      <c r="A24" s="89" t="s">
        <v>124</v>
      </c>
      <c r="B24" s="73" t="s">
        <v>77</v>
      </c>
      <c r="C24" s="62">
        <v>0</v>
      </c>
      <c r="H24" s="72">
        <v>100</v>
      </c>
      <c r="I24" s="55">
        <v>5.7999999999999996E-3</v>
      </c>
      <c r="J24" s="48">
        <v>5.7999999999999996E-3</v>
      </c>
      <c r="K24" s="53">
        <v>0</v>
      </c>
      <c r="L24" s="53">
        <v>0.25</v>
      </c>
    </row>
    <row r="25" spans="1:12" x14ac:dyDescent="0.3">
      <c r="A25" s="89" t="s">
        <v>125</v>
      </c>
      <c r="B25" s="73" t="s">
        <v>75</v>
      </c>
      <c r="C25" s="63">
        <v>6.62</v>
      </c>
      <c r="E25" s="50"/>
      <c r="F25" s="50"/>
      <c r="G25" s="50"/>
      <c r="H25" s="77">
        <v>1000</v>
      </c>
      <c r="I25" s="65">
        <v>5.9999999999999995E-4</v>
      </c>
      <c r="J25" s="48">
        <v>5.9999999999999995E-4</v>
      </c>
      <c r="K25" s="53">
        <v>0</v>
      </c>
      <c r="L25" s="53">
        <v>0.25</v>
      </c>
    </row>
    <row r="26" spans="1:12" x14ac:dyDescent="0.3">
      <c r="A26" s="89" t="s">
        <v>126</v>
      </c>
      <c r="B26" s="73" t="s">
        <v>68</v>
      </c>
      <c r="C26" s="64">
        <v>0</v>
      </c>
      <c r="K26" s="50"/>
    </row>
    <row r="27" spans="1:12" x14ac:dyDescent="0.3">
      <c r="A27" s="89" t="s">
        <v>127</v>
      </c>
      <c r="B27" s="73" t="s">
        <v>69</v>
      </c>
      <c r="C27" s="64">
        <v>0</v>
      </c>
      <c r="K27" s="50"/>
    </row>
    <row r="28" spans="1:12" x14ac:dyDescent="0.3">
      <c r="A28" s="89" t="s">
        <v>128</v>
      </c>
      <c r="B28" s="73" t="s">
        <v>70</v>
      </c>
      <c r="C28" s="64">
        <v>80</v>
      </c>
      <c r="K28" s="50"/>
    </row>
    <row r="29" spans="1:12" x14ac:dyDescent="0.3">
      <c r="A29" s="89" t="s">
        <v>129</v>
      </c>
      <c r="B29" s="73" t="s">
        <v>71</v>
      </c>
      <c r="C29" s="64">
        <v>240</v>
      </c>
      <c r="E29" s="101" t="s">
        <v>148</v>
      </c>
      <c r="F29" s="50"/>
      <c r="K29" s="50"/>
    </row>
    <row r="30" spans="1:12" x14ac:dyDescent="0.3">
      <c r="A30" s="89" t="s">
        <v>130</v>
      </c>
      <c r="B30" s="73" t="s">
        <v>72</v>
      </c>
      <c r="C30" s="64">
        <v>500</v>
      </c>
      <c r="K30" s="50"/>
    </row>
    <row r="31" spans="1:12" ht="15.6" x14ac:dyDescent="0.3">
      <c r="A31" s="89" t="s">
        <v>131</v>
      </c>
      <c r="B31" s="73" t="s">
        <v>73</v>
      </c>
      <c r="C31" s="64">
        <v>0</v>
      </c>
      <c r="E31" s="102" t="s">
        <v>149</v>
      </c>
      <c r="K31" s="50"/>
    </row>
    <row r="32" spans="1:12" x14ac:dyDescent="0.3">
      <c r="A32" s="88" t="s">
        <v>132</v>
      </c>
      <c r="B32" s="75" t="s">
        <v>82</v>
      </c>
      <c r="C32" s="59">
        <v>0.02</v>
      </c>
      <c r="E32" s="68"/>
      <c r="K32" s="50"/>
    </row>
    <row r="33" spans="1:11" x14ac:dyDescent="0.3">
      <c r="A33" s="74"/>
      <c r="B33" s="72" t="s">
        <v>40</v>
      </c>
      <c r="C33" s="62">
        <v>0.99999999999989997</v>
      </c>
      <c r="K33" s="50"/>
    </row>
    <row r="34" spans="1:11" x14ac:dyDescent="0.3">
      <c r="A34" s="74"/>
      <c r="B34" s="73" t="s">
        <v>25</v>
      </c>
      <c r="C34" s="56" t="s">
        <v>63</v>
      </c>
      <c r="K34" s="50"/>
    </row>
    <row r="35" spans="1:11" x14ac:dyDescent="0.3">
      <c r="A35" s="74"/>
      <c r="B35" s="73" t="s">
        <v>65</v>
      </c>
      <c r="C35" s="56" t="s">
        <v>66</v>
      </c>
      <c r="K35" s="50"/>
    </row>
    <row r="36" spans="1:11" x14ac:dyDescent="0.3">
      <c r="A36" s="76"/>
      <c r="B36" s="75" t="s">
        <v>67</v>
      </c>
      <c r="C36" s="69">
        <v>43831</v>
      </c>
      <c r="K36" s="50"/>
    </row>
    <row r="37" spans="1:11" x14ac:dyDescent="0.3">
      <c r="A37" s="89" t="s">
        <v>133</v>
      </c>
      <c r="B37" s="73" t="s">
        <v>84</v>
      </c>
      <c r="C37" s="62">
        <v>0</v>
      </c>
      <c r="K37" s="50"/>
    </row>
    <row r="38" spans="1:11" x14ac:dyDescent="0.3">
      <c r="A38" s="89" t="s">
        <v>134</v>
      </c>
      <c r="B38" s="73" t="s">
        <v>85</v>
      </c>
      <c r="C38" s="62">
        <v>0.05</v>
      </c>
      <c r="K38" s="50"/>
    </row>
    <row r="39" spans="1:11" x14ac:dyDescent="0.3">
      <c r="A39" s="89" t="s">
        <v>135</v>
      </c>
      <c r="B39" s="73" t="s">
        <v>83</v>
      </c>
      <c r="C39" s="62">
        <v>0.26</v>
      </c>
      <c r="K39" s="50"/>
    </row>
    <row r="40" spans="1:11" x14ac:dyDescent="0.3">
      <c r="A40" s="89" t="s">
        <v>136</v>
      </c>
      <c r="B40" s="72" t="s">
        <v>31</v>
      </c>
      <c r="C40" s="56">
        <v>20</v>
      </c>
      <c r="K40" s="50"/>
    </row>
    <row r="41" spans="1:11" x14ac:dyDescent="0.3">
      <c r="A41" s="88" t="s">
        <v>137</v>
      </c>
      <c r="B41" s="73" t="s">
        <v>81</v>
      </c>
      <c r="C41" s="62">
        <v>3.5000000000000003E-2</v>
      </c>
      <c r="K41" s="50"/>
    </row>
    <row r="42" spans="1:11" x14ac:dyDescent="0.3">
      <c r="A42" s="94" t="s">
        <v>138</v>
      </c>
      <c r="B42" s="80" t="s">
        <v>107</v>
      </c>
      <c r="C42" s="70" t="b">
        <v>0</v>
      </c>
      <c r="K42" s="50"/>
    </row>
  </sheetData>
  <sheetProtection sheet="1" objects="1" scenarios="1"/>
  <hyperlinks>
    <hyperlink ref="E31" r:id="rId1" xr:uid="{75CA1197-EEE8-4B1D-BA77-008D5600ADB4}"/>
  </hyperlinks>
  <pageMargins left="0.7" right="0.7" top="0.78740157499999996" bottom="0.78740157499999996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ransfer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335280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1DAA6-4DFC-466E-A3CA-B79A2399922E}">
  <sheetPr codeName="Tabelle2"/>
  <dimension ref="A1:O42"/>
  <sheetViews>
    <sheetView topLeftCell="A19" workbookViewId="0">
      <selection activeCell="C7" sqref="C7"/>
    </sheetView>
  </sheetViews>
  <sheetFormatPr defaultColWidth="11" defaultRowHeight="14.4" x14ac:dyDescent="0.3"/>
  <cols>
    <col min="1" max="1" width="88.8984375" style="3" customWidth="1"/>
    <col min="2" max="2" width="31.09765625" style="3" bestFit="1" customWidth="1"/>
    <col min="3" max="4" width="11" style="3"/>
    <col min="5" max="5" width="29.19921875" style="3" bestFit="1" customWidth="1"/>
    <col min="6" max="7" width="11" style="3"/>
    <col min="8" max="8" width="12.5" style="3" bestFit="1" customWidth="1"/>
    <col min="9" max="16384" width="11" style="3"/>
  </cols>
  <sheetData>
    <row r="1" spans="1:15" x14ac:dyDescent="0.3">
      <c r="A1" s="26" t="s">
        <v>109</v>
      </c>
      <c r="B1" s="2" t="s">
        <v>22</v>
      </c>
      <c r="C1" s="6" t="s">
        <v>23</v>
      </c>
      <c r="E1" s="2" t="s">
        <v>24</v>
      </c>
      <c r="F1" s="6" t="s">
        <v>23</v>
      </c>
      <c r="H1" s="2" t="s">
        <v>25</v>
      </c>
      <c r="I1" s="6" t="s">
        <v>23</v>
      </c>
      <c r="K1" s="2" t="s">
        <v>26</v>
      </c>
      <c r="L1" s="6" t="s">
        <v>27</v>
      </c>
    </row>
    <row r="2" spans="1:15" s="8" customFormat="1" x14ac:dyDescent="0.3">
      <c r="A2" s="24" t="s">
        <v>110</v>
      </c>
      <c r="B2" s="7" t="s">
        <v>28</v>
      </c>
      <c r="C2" s="28">
        <v>44986</v>
      </c>
      <c r="E2" s="7" t="s">
        <v>29</v>
      </c>
      <c r="F2" s="9">
        <v>1.7999999999999999E-2</v>
      </c>
      <c r="H2" s="7" t="s">
        <v>30</v>
      </c>
      <c r="I2" s="21">
        <v>9.9999999999999995E-8</v>
      </c>
      <c r="K2" s="7">
        <v>9.9999999999999995E-7</v>
      </c>
      <c r="L2" s="10">
        <v>0</v>
      </c>
      <c r="M2" s="8">
        <v>1</v>
      </c>
      <c r="N2" s="11">
        <v>0</v>
      </c>
      <c r="O2" s="11">
        <v>0.25</v>
      </c>
    </row>
    <row r="3" spans="1:15" s="8" customFormat="1" x14ac:dyDescent="0.3">
      <c r="A3" s="39" t="s">
        <v>139</v>
      </c>
      <c r="B3" s="45" t="s">
        <v>140</v>
      </c>
      <c r="C3" s="28">
        <v>44986</v>
      </c>
      <c r="E3" s="4" t="s">
        <v>32</v>
      </c>
      <c r="F3" s="9">
        <v>3.5000000000000003E-2</v>
      </c>
      <c r="H3" s="7" t="s">
        <v>33</v>
      </c>
      <c r="I3" s="22">
        <v>120</v>
      </c>
      <c r="K3" s="7">
        <v>1E-3</v>
      </c>
      <c r="L3" s="12">
        <v>0</v>
      </c>
      <c r="M3" s="8">
        <v>0.999</v>
      </c>
      <c r="N3" s="11">
        <v>0</v>
      </c>
      <c r="O3" s="11">
        <v>0.25</v>
      </c>
    </row>
    <row r="4" spans="1:15" s="8" customFormat="1" x14ac:dyDescent="0.3">
      <c r="A4" s="24" t="s">
        <v>108</v>
      </c>
      <c r="B4" s="7" t="s">
        <v>106</v>
      </c>
      <c r="C4" s="28">
        <v>44986</v>
      </c>
      <c r="E4" s="4" t="s">
        <v>35</v>
      </c>
      <c r="F4" s="9">
        <v>2.5000000000000001E-2</v>
      </c>
      <c r="H4" s="7" t="s">
        <v>36</v>
      </c>
      <c r="I4" s="21">
        <v>9.9999999999999995E-8</v>
      </c>
      <c r="K4" s="7">
        <v>0.01</v>
      </c>
      <c r="L4" s="12">
        <v>0</v>
      </c>
      <c r="M4" s="8">
        <v>0.995</v>
      </c>
      <c r="N4" s="11">
        <v>0</v>
      </c>
      <c r="O4" s="11">
        <v>0.25</v>
      </c>
    </row>
    <row r="5" spans="1:15" s="8" customFormat="1" x14ac:dyDescent="0.3">
      <c r="A5" s="24" t="s">
        <v>111</v>
      </c>
      <c r="B5" s="4" t="s">
        <v>56</v>
      </c>
      <c r="C5" s="29">
        <v>4.5599999999999996</v>
      </c>
      <c r="E5" s="7" t="s">
        <v>38</v>
      </c>
      <c r="F5" s="9">
        <v>0.01</v>
      </c>
      <c r="H5" s="13" t="s">
        <v>39</v>
      </c>
      <c r="I5" s="23">
        <v>180</v>
      </c>
      <c r="K5" s="7">
        <v>0.1</v>
      </c>
      <c r="L5" s="12">
        <v>0</v>
      </c>
      <c r="M5" s="8">
        <v>0.93</v>
      </c>
      <c r="N5" s="11">
        <v>0</v>
      </c>
      <c r="O5" s="11">
        <v>0.25</v>
      </c>
    </row>
    <row r="6" spans="1:15" s="8" customFormat="1" x14ac:dyDescent="0.3">
      <c r="A6" s="24" t="s">
        <v>112</v>
      </c>
      <c r="B6" s="4" t="s">
        <v>58</v>
      </c>
      <c r="C6" s="30">
        <v>1300</v>
      </c>
      <c r="D6" s="3"/>
      <c r="E6" s="4" t="s">
        <v>41</v>
      </c>
      <c r="F6" s="9">
        <v>5.0000000000000001E-3</v>
      </c>
      <c r="K6" s="7">
        <v>0.2</v>
      </c>
      <c r="L6" s="12">
        <v>0</v>
      </c>
      <c r="M6" s="8">
        <v>0.88500000000000001</v>
      </c>
      <c r="N6" s="11">
        <v>0</v>
      </c>
      <c r="O6" s="11">
        <v>0.25</v>
      </c>
    </row>
    <row r="7" spans="1:15" s="8" customFormat="1" x14ac:dyDescent="0.3">
      <c r="A7" s="39" t="s">
        <v>142</v>
      </c>
      <c r="B7" s="4" t="s">
        <v>78</v>
      </c>
      <c r="C7" s="30">
        <v>3000</v>
      </c>
      <c r="E7" s="4" t="s">
        <v>43</v>
      </c>
      <c r="F7" s="9">
        <v>0.01</v>
      </c>
      <c r="K7" s="7">
        <v>0.3</v>
      </c>
      <c r="L7" s="12">
        <v>0</v>
      </c>
      <c r="M7" s="8">
        <v>0.81499999999999995</v>
      </c>
      <c r="N7" s="11">
        <v>0</v>
      </c>
      <c r="O7" s="11">
        <v>0.25</v>
      </c>
    </row>
    <row r="8" spans="1:15" s="8" customFormat="1" x14ac:dyDescent="0.3">
      <c r="A8" s="39" t="s">
        <v>141</v>
      </c>
      <c r="B8" s="4" t="s">
        <v>61</v>
      </c>
      <c r="C8" s="29">
        <v>0.5</v>
      </c>
      <c r="E8" s="4" t="s">
        <v>45</v>
      </c>
      <c r="F8" s="9">
        <v>5.0000000000000001E-3</v>
      </c>
      <c r="K8" s="7">
        <v>0.4</v>
      </c>
      <c r="L8" s="12">
        <v>0</v>
      </c>
      <c r="M8" s="8">
        <v>0.73</v>
      </c>
      <c r="N8" s="11">
        <v>0</v>
      </c>
      <c r="O8" s="11">
        <v>0.25</v>
      </c>
    </row>
    <row r="9" spans="1:15" s="8" customFormat="1" x14ac:dyDescent="0.3">
      <c r="A9" s="26" t="s">
        <v>113</v>
      </c>
      <c r="B9" s="13" t="s">
        <v>34</v>
      </c>
      <c r="C9" s="31">
        <v>5.0000000000000001E-3</v>
      </c>
      <c r="E9" s="4" t="s">
        <v>47</v>
      </c>
      <c r="F9" s="9">
        <v>0.01</v>
      </c>
      <c r="K9" s="7">
        <v>0.5</v>
      </c>
      <c r="L9" s="12">
        <v>0</v>
      </c>
      <c r="M9" s="8">
        <v>0.64500000000000002</v>
      </c>
      <c r="N9" s="11">
        <v>0</v>
      </c>
      <c r="O9" s="11">
        <v>0.25</v>
      </c>
    </row>
    <row r="10" spans="1:15" x14ac:dyDescent="0.3">
      <c r="A10" s="24" t="s">
        <v>114</v>
      </c>
      <c r="B10" s="4" t="s">
        <v>80</v>
      </c>
      <c r="C10" s="32">
        <v>0.3</v>
      </c>
      <c r="E10" s="4" t="s">
        <v>49</v>
      </c>
      <c r="F10" s="14">
        <v>0.01</v>
      </c>
      <c r="K10" s="7">
        <v>0.6</v>
      </c>
      <c r="L10" s="12">
        <v>0</v>
      </c>
      <c r="M10" s="3">
        <v>0.57999999999999996</v>
      </c>
      <c r="N10" s="11">
        <v>0</v>
      </c>
      <c r="O10" s="11">
        <v>0.25</v>
      </c>
    </row>
    <row r="11" spans="1:15" x14ac:dyDescent="0.3">
      <c r="A11" s="40" t="s">
        <v>115</v>
      </c>
      <c r="B11" s="4" t="s">
        <v>79</v>
      </c>
      <c r="C11" s="32">
        <v>0</v>
      </c>
      <c r="E11" s="4" t="s">
        <v>51</v>
      </c>
      <c r="F11" s="14">
        <v>5.0000000000000001E-3</v>
      </c>
      <c r="K11" s="7">
        <v>0.7</v>
      </c>
      <c r="L11" s="12">
        <v>0</v>
      </c>
      <c r="M11" s="3">
        <v>0.52500000000000002</v>
      </c>
      <c r="N11" s="11">
        <v>0</v>
      </c>
      <c r="O11" s="11">
        <v>0.25</v>
      </c>
    </row>
    <row r="12" spans="1:15" x14ac:dyDescent="0.3">
      <c r="A12" s="43" t="s">
        <v>150</v>
      </c>
      <c r="B12" s="46" t="s">
        <v>143</v>
      </c>
      <c r="C12" s="44">
        <v>1.0000000000000001E-5</v>
      </c>
      <c r="E12" s="4" t="s">
        <v>53</v>
      </c>
      <c r="F12" s="14">
        <v>5.0000000000000001E-3</v>
      </c>
      <c r="K12" s="7">
        <v>0.8</v>
      </c>
      <c r="L12" s="12">
        <v>0</v>
      </c>
      <c r="M12" s="3">
        <v>0.48</v>
      </c>
      <c r="N12" s="11">
        <v>0</v>
      </c>
      <c r="O12" s="11">
        <v>0.25</v>
      </c>
    </row>
    <row r="13" spans="1:15" x14ac:dyDescent="0.3">
      <c r="A13" s="24" t="s">
        <v>116</v>
      </c>
      <c r="B13" s="7" t="s">
        <v>37</v>
      </c>
      <c r="C13" s="30">
        <v>13400</v>
      </c>
      <c r="E13" s="4" t="s">
        <v>55</v>
      </c>
      <c r="F13" s="14">
        <v>5.0000000000000001E-3</v>
      </c>
      <c r="K13" s="7">
        <v>0.9</v>
      </c>
      <c r="L13" s="12">
        <v>0</v>
      </c>
      <c r="M13" s="3">
        <v>0.44</v>
      </c>
      <c r="N13" s="11">
        <v>0</v>
      </c>
      <c r="O13" s="11">
        <v>0.25</v>
      </c>
    </row>
    <row r="14" spans="1:15" x14ac:dyDescent="0.3">
      <c r="A14" s="24" t="s">
        <v>117</v>
      </c>
      <c r="B14" s="7" t="s">
        <v>44</v>
      </c>
      <c r="C14" s="30">
        <v>0</v>
      </c>
      <c r="E14" s="4" t="s">
        <v>57</v>
      </c>
      <c r="F14" s="14">
        <v>0.01</v>
      </c>
      <c r="K14" s="7">
        <v>1</v>
      </c>
      <c r="L14" s="12">
        <v>0</v>
      </c>
      <c r="M14" s="3">
        <v>0.40699999999999997</v>
      </c>
      <c r="N14" s="11">
        <v>0</v>
      </c>
      <c r="O14" s="11">
        <v>0.25</v>
      </c>
    </row>
    <row r="15" spans="1:15" x14ac:dyDescent="0.3">
      <c r="A15" s="24" t="s">
        <v>118</v>
      </c>
      <c r="B15" s="7" t="s">
        <v>46</v>
      </c>
      <c r="C15" s="30">
        <v>0</v>
      </c>
      <c r="E15" s="4" t="s">
        <v>59</v>
      </c>
      <c r="F15" s="14">
        <v>5.0000000000000001E-3</v>
      </c>
      <c r="K15" s="7">
        <v>2</v>
      </c>
      <c r="L15" s="12">
        <v>0</v>
      </c>
      <c r="M15" s="3">
        <v>0.23200000000000001</v>
      </c>
      <c r="N15" s="11">
        <v>0</v>
      </c>
      <c r="O15" s="11">
        <v>0.25</v>
      </c>
    </row>
    <row r="16" spans="1:15" x14ac:dyDescent="0.3">
      <c r="A16" s="24" t="s">
        <v>119</v>
      </c>
      <c r="B16" s="4" t="s">
        <v>48</v>
      </c>
      <c r="C16" s="30">
        <v>0</v>
      </c>
      <c r="E16" s="4" t="s">
        <v>60</v>
      </c>
      <c r="F16" s="14">
        <v>5.0000000000000001E-3</v>
      </c>
      <c r="K16" s="7">
        <v>3</v>
      </c>
      <c r="L16" s="12">
        <v>0</v>
      </c>
      <c r="M16" s="3">
        <v>0.16300000000000001</v>
      </c>
      <c r="N16" s="11">
        <v>0</v>
      </c>
      <c r="O16" s="11">
        <v>0.25</v>
      </c>
    </row>
    <row r="17" spans="1:15" x14ac:dyDescent="0.3">
      <c r="A17" s="24" t="s">
        <v>120</v>
      </c>
      <c r="B17" s="4" t="s">
        <v>50</v>
      </c>
      <c r="C17" s="30">
        <v>0</v>
      </c>
      <c r="E17" s="4" t="s">
        <v>62</v>
      </c>
      <c r="F17" s="14">
        <v>5.0000000000000001E-3</v>
      </c>
      <c r="K17" s="7">
        <v>4</v>
      </c>
      <c r="L17" s="12">
        <v>0</v>
      </c>
      <c r="M17" s="3">
        <v>0.125</v>
      </c>
      <c r="N17" s="11">
        <v>0</v>
      </c>
      <c r="O17" s="11">
        <v>0.25</v>
      </c>
    </row>
    <row r="18" spans="1:15" x14ac:dyDescent="0.3">
      <c r="A18" s="39" t="s">
        <v>144</v>
      </c>
      <c r="B18" s="45" t="s">
        <v>145</v>
      </c>
      <c r="C18" s="30">
        <v>0</v>
      </c>
      <c r="E18" s="5" t="s">
        <v>64</v>
      </c>
      <c r="F18" s="15">
        <v>5.0000000000000001E-3</v>
      </c>
      <c r="K18" s="7">
        <v>5</v>
      </c>
      <c r="L18" s="12">
        <v>0</v>
      </c>
      <c r="M18" s="3">
        <v>0.10150000000000001</v>
      </c>
      <c r="N18" s="11">
        <v>0</v>
      </c>
      <c r="O18" s="11">
        <v>0.25</v>
      </c>
    </row>
    <row r="19" spans="1:15" x14ac:dyDescent="0.3">
      <c r="A19" s="39" t="s">
        <v>146</v>
      </c>
      <c r="B19" s="4" t="s">
        <v>52</v>
      </c>
      <c r="C19" s="30">
        <v>0</v>
      </c>
      <c r="K19" s="7">
        <v>6</v>
      </c>
      <c r="L19" s="12">
        <v>0</v>
      </c>
      <c r="M19" s="3">
        <v>8.5699999999999998E-2</v>
      </c>
      <c r="N19" s="11">
        <v>0</v>
      </c>
      <c r="O19" s="11">
        <v>0.25</v>
      </c>
    </row>
    <row r="20" spans="1:15" x14ac:dyDescent="0.3">
      <c r="A20" s="39" t="s">
        <v>147</v>
      </c>
      <c r="B20" s="4" t="s">
        <v>54</v>
      </c>
      <c r="C20" s="30">
        <v>250</v>
      </c>
      <c r="K20" s="7">
        <v>7</v>
      </c>
      <c r="L20" s="12">
        <v>0</v>
      </c>
      <c r="M20" s="3">
        <v>7.3999999999999996E-2</v>
      </c>
      <c r="N20" s="11">
        <v>0</v>
      </c>
      <c r="O20" s="11">
        <v>0.25</v>
      </c>
    </row>
    <row r="21" spans="1:15" x14ac:dyDescent="0.3">
      <c r="A21" s="26" t="s">
        <v>121</v>
      </c>
      <c r="B21" s="7" t="s">
        <v>42</v>
      </c>
      <c r="C21" s="30">
        <v>0</v>
      </c>
      <c r="K21" s="7">
        <v>8</v>
      </c>
      <c r="L21" s="12">
        <v>0</v>
      </c>
      <c r="M21" s="3">
        <v>6.5299999999999997E-2</v>
      </c>
      <c r="N21" s="11">
        <v>0</v>
      </c>
      <c r="O21" s="11">
        <v>0.25</v>
      </c>
    </row>
    <row r="22" spans="1:15" x14ac:dyDescent="0.3">
      <c r="A22" s="24" t="s">
        <v>122</v>
      </c>
      <c r="B22" s="16" t="s">
        <v>74</v>
      </c>
      <c r="C22" s="33">
        <v>2.8</v>
      </c>
      <c r="K22" s="7">
        <v>9</v>
      </c>
      <c r="L22" s="12">
        <v>0</v>
      </c>
      <c r="M22" s="3">
        <v>0.06</v>
      </c>
      <c r="N22" s="11">
        <v>0</v>
      </c>
      <c r="O22" s="11">
        <v>0.25</v>
      </c>
    </row>
    <row r="23" spans="1:15" x14ac:dyDescent="0.3">
      <c r="A23" s="24" t="s">
        <v>123</v>
      </c>
      <c r="B23" s="4" t="s">
        <v>76</v>
      </c>
      <c r="C23" s="34">
        <v>0.02</v>
      </c>
      <c r="K23" s="7">
        <v>10</v>
      </c>
      <c r="L23" s="12">
        <v>0</v>
      </c>
      <c r="M23" s="3">
        <v>5.5E-2</v>
      </c>
      <c r="N23" s="11">
        <v>0</v>
      </c>
      <c r="O23" s="11">
        <v>0.25</v>
      </c>
    </row>
    <row r="24" spans="1:15" x14ac:dyDescent="0.3">
      <c r="A24" s="24" t="s">
        <v>124</v>
      </c>
      <c r="B24" s="4" t="s">
        <v>77</v>
      </c>
      <c r="C24" s="34">
        <v>0</v>
      </c>
      <c r="K24" s="7">
        <v>100</v>
      </c>
      <c r="L24" s="12">
        <v>0</v>
      </c>
      <c r="M24" s="3">
        <v>5.7999999999999996E-3</v>
      </c>
      <c r="N24" s="11">
        <v>0</v>
      </c>
      <c r="O24" s="11">
        <v>0.25</v>
      </c>
    </row>
    <row r="25" spans="1:15" x14ac:dyDescent="0.3">
      <c r="A25" s="24" t="s">
        <v>125</v>
      </c>
      <c r="B25" s="4" t="s">
        <v>75</v>
      </c>
      <c r="C25" s="35">
        <v>0</v>
      </c>
      <c r="E25" s="8"/>
      <c r="F25" s="8"/>
      <c r="G25" s="8"/>
      <c r="H25" s="8"/>
      <c r="I25" s="8"/>
      <c r="J25" s="8"/>
      <c r="K25" s="13">
        <v>1000</v>
      </c>
      <c r="L25" s="17">
        <v>0</v>
      </c>
      <c r="M25" s="3">
        <v>5.9999999999999995E-4</v>
      </c>
      <c r="N25" s="11">
        <v>0</v>
      </c>
      <c r="O25" s="11">
        <v>0.25</v>
      </c>
    </row>
    <row r="26" spans="1:15" x14ac:dyDescent="0.3">
      <c r="A26" s="24" t="s">
        <v>126</v>
      </c>
      <c r="B26" s="4" t="s">
        <v>68</v>
      </c>
      <c r="C26" s="36">
        <v>0</v>
      </c>
      <c r="K26" s="8"/>
    </row>
    <row r="27" spans="1:15" x14ac:dyDescent="0.3">
      <c r="A27" s="24" t="s">
        <v>127</v>
      </c>
      <c r="B27" s="4" t="s">
        <v>69</v>
      </c>
      <c r="C27" s="36">
        <v>0</v>
      </c>
      <c r="K27" s="8"/>
    </row>
    <row r="28" spans="1:15" x14ac:dyDescent="0.3">
      <c r="A28" s="24" t="s">
        <v>128</v>
      </c>
      <c r="B28" s="4" t="s">
        <v>70</v>
      </c>
      <c r="C28" s="36">
        <v>0</v>
      </c>
      <c r="K28" s="8"/>
    </row>
    <row r="29" spans="1:15" x14ac:dyDescent="0.3">
      <c r="A29" s="24" t="s">
        <v>129</v>
      </c>
      <c r="B29" s="4" t="s">
        <v>71</v>
      </c>
      <c r="C29" s="36">
        <v>0</v>
      </c>
      <c r="E29" s="41"/>
      <c r="F29" s="8"/>
      <c r="K29" s="8"/>
    </row>
    <row r="30" spans="1:15" x14ac:dyDescent="0.3">
      <c r="A30" s="24" t="s">
        <v>130</v>
      </c>
      <c r="B30" s="4" t="s">
        <v>72</v>
      </c>
      <c r="C30" s="36">
        <v>0</v>
      </c>
      <c r="K30" s="8"/>
    </row>
    <row r="31" spans="1:15" ht="15.6" x14ac:dyDescent="0.3">
      <c r="A31" s="24" t="s">
        <v>131</v>
      </c>
      <c r="B31" s="4" t="s">
        <v>73</v>
      </c>
      <c r="C31" s="36">
        <v>0</v>
      </c>
      <c r="E31" s="42"/>
      <c r="K31" s="8"/>
    </row>
    <row r="32" spans="1:15" x14ac:dyDescent="0.3">
      <c r="A32" s="26" t="s">
        <v>132</v>
      </c>
      <c r="B32" s="5" t="s">
        <v>82</v>
      </c>
      <c r="C32" s="31">
        <v>0.05</v>
      </c>
      <c r="E32" s="18"/>
      <c r="K32" s="8"/>
    </row>
    <row r="33" spans="1:11" x14ac:dyDescent="0.3">
      <c r="B33" s="7" t="s">
        <v>40</v>
      </c>
      <c r="C33" s="34">
        <v>0.99999999999989997</v>
      </c>
      <c r="K33" s="8"/>
    </row>
    <row r="34" spans="1:11" x14ac:dyDescent="0.3">
      <c r="B34" s="4" t="s">
        <v>25</v>
      </c>
      <c r="C34" s="29" t="s">
        <v>63</v>
      </c>
      <c r="K34" s="8"/>
    </row>
    <row r="35" spans="1:11" x14ac:dyDescent="0.3">
      <c r="B35" s="4" t="s">
        <v>65</v>
      </c>
      <c r="C35" s="29" t="s">
        <v>66</v>
      </c>
      <c r="K35" s="8"/>
    </row>
    <row r="36" spans="1:11" x14ac:dyDescent="0.3">
      <c r="A36" s="15"/>
      <c r="B36" s="5" t="s">
        <v>67</v>
      </c>
      <c r="C36" s="37">
        <v>44986</v>
      </c>
      <c r="K36" s="8"/>
    </row>
    <row r="37" spans="1:11" x14ac:dyDescent="0.3">
      <c r="A37" s="24" t="s">
        <v>133</v>
      </c>
      <c r="B37" s="4" t="s">
        <v>84</v>
      </c>
      <c r="C37" s="34">
        <v>0</v>
      </c>
      <c r="K37" s="8"/>
    </row>
    <row r="38" spans="1:11" x14ac:dyDescent="0.3">
      <c r="A38" s="24" t="s">
        <v>134</v>
      </c>
      <c r="B38" s="4" t="s">
        <v>85</v>
      </c>
      <c r="C38" s="34">
        <v>0</v>
      </c>
      <c r="K38" s="8"/>
    </row>
    <row r="39" spans="1:11" x14ac:dyDescent="0.3">
      <c r="A39" s="24" t="s">
        <v>135</v>
      </c>
      <c r="B39" s="4" t="s">
        <v>83</v>
      </c>
      <c r="C39" s="34">
        <v>0.25</v>
      </c>
      <c r="K39" s="8"/>
    </row>
    <row r="40" spans="1:11" x14ac:dyDescent="0.3">
      <c r="A40" s="24" t="s">
        <v>136</v>
      </c>
      <c r="B40" s="7" t="s">
        <v>31</v>
      </c>
      <c r="C40" s="29">
        <v>30</v>
      </c>
      <c r="K40" s="8"/>
    </row>
    <row r="41" spans="1:11" x14ac:dyDescent="0.3">
      <c r="A41" s="26" t="s">
        <v>137</v>
      </c>
      <c r="B41" s="4" t="s">
        <v>81</v>
      </c>
      <c r="C41" s="34">
        <v>3.5000000000000003E-2</v>
      </c>
      <c r="K41" s="8"/>
    </row>
    <row r="42" spans="1:11" x14ac:dyDescent="0.3">
      <c r="A42" s="27" t="s">
        <v>138</v>
      </c>
      <c r="B42" s="25" t="s">
        <v>107</v>
      </c>
      <c r="C42" s="38" t="b">
        <v>0</v>
      </c>
      <c r="K42" s="8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4</xdr:col>
                    <xdr:colOff>7620</xdr:colOff>
                    <xdr:row>18</xdr:row>
                    <xdr:rowOff>182880</xdr:rowOff>
                  </from>
                  <to>
                    <xdr:col>4</xdr:col>
                    <xdr:colOff>1623060</xdr:colOff>
                    <xdr:row>23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57F9F-ADD2-46D3-B0A1-62702343BA12}">
  <sheetPr codeName="Tabelle3"/>
  <dimension ref="A1:B10"/>
  <sheetViews>
    <sheetView workbookViewId="0">
      <selection activeCell="D15" sqref="D15"/>
    </sheetView>
  </sheetViews>
  <sheetFormatPr defaultColWidth="11.19921875" defaultRowHeight="15.6" x14ac:dyDescent="0.3"/>
  <cols>
    <col min="1" max="1" width="52.5" customWidth="1"/>
  </cols>
  <sheetData>
    <row r="1" spans="1:2" x14ac:dyDescent="0.3">
      <c r="A1" t="s">
        <v>86</v>
      </c>
      <c r="B1" s="19">
        <v>7.9000000000000008E-3</v>
      </c>
    </row>
    <row r="2" spans="1:2" x14ac:dyDescent="0.3">
      <c r="A2" t="s">
        <v>87</v>
      </c>
      <c r="B2">
        <v>0.09</v>
      </c>
    </row>
    <row r="3" spans="1:2" x14ac:dyDescent="0.3">
      <c r="A3" t="s">
        <v>88</v>
      </c>
      <c r="B3">
        <v>0.13900000000000001</v>
      </c>
    </row>
    <row r="4" spans="1:2" x14ac:dyDescent="0.3">
      <c r="A4" t="s">
        <v>89</v>
      </c>
      <c r="B4" s="19">
        <v>0</v>
      </c>
    </row>
    <row r="5" spans="1:2" x14ac:dyDescent="0.3">
      <c r="A5" t="s">
        <v>90</v>
      </c>
      <c r="B5" s="19">
        <v>0.12509999999999999</v>
      </c>
    </row>
    <row r="6" spans="1:2" x14ac:dyDescent="0.3">
      <c r="A6" t="s">
        <v>91</v>
      </c>
      <c r="B6" s="19">
        <v>0.12509999999999999</v>
      </c>
    </row>
    <row r="7" spans="1:2" x14ac:dyDescent="0.3">
      <c r="A7" t="s">
        <v>92</v>
      </c>
      <c r="B7" s="19">
        <v>9.6799999999999997E-2</v>
      </c>
    </row>
    <row r="8" spans="1:2" x14ac:dyDescent="0.3">
      <c r="A8" t="s">
        <v>93</v>
      </c>
      <c r="B8" s="19">
        <v>9.6799999999999997E-2</v>
      </c>
    </row>
    <row r="9" spans="1:2" x14ac:dyDescent="0.3">
      <c r="A9" t="s">
        <v>94</v>
      </c>
      <c r="B9" s="19">
        <v>9.6799999999999997E-2</v>
      </c>
    </row>
    <row r="10" spans="1:2" x14ac:dyDescent="0.3">
      <c r="A10" t="s">
        <v>95</v>
      </c>
      <c r="B10" s="19">
        <v>9.6799999999999997E-2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7D3A3-3746-42FF-AD35-4302D87DAFB4}">
  <sheetPr codeName="Tabelle4"/>
  <dimension ref="A1:O372"/>
  <sheetViews>
    <sheetView topLeftCell="D1" workbookViewId="0">
      <selection activeCell="E2" sqref="E2"/>
    </sheetView>
  </sheetViews>
  <sheetFormatPr defaultColWidth="11.19921875" defaultRowHeight="15.6" x14ac:dyDescent="0.3"/>
  <sheetData>
    <row r="1" spans="1:15" x14ac:dyDescent="0.3">
      <c r="B1" t="s">
        <v>96</v>
      </c>
      <c r="C1" t="s">
        <v>97</v>
      </c>
      <c r="D1" t="s">
        <v>98</v>
      </c>
      <c r="E1" t="s">
        <v>37</v>
      </c>
      <c r="F1" t="s">
        <v>13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  <c r="L1" t="s">
        <v>104</v>
      </c>
      <c r="M1" t="s">
        <v>18</v>
      </c>
      <c r="N1" t="s">
        <v>20</v>
      </c>
      <c r="O1" t="s">
        <v>105</v>
      </c>
    </row>
    <row r="2" spans="1:15" x14ac:dyDescent="0.3">
      <c r="A2">
        <v>0</v>
      </c>
      <c r="B2" s="20">
        <v>44986</v>
      </c>
      <c r="C2">
        <v>0</v>
      </c>
      <c r="D2">
        <v>0</v>
      </c>
      <c r="E2">
        <v>-13650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1.3654244401806181E-9</v>
      </c>
    </row>
    <row r="3" spans="1:15" x14ac:dyDescent="0.3">
      <c r="A3">
        <v>1</v>
      </c>
      <c r="B3" s="20">
        <v>45016</v>
      </c>
      <c r="C3">
        <v>-1.1378537001505152E-17</v>
      </c>
      <c r="D3">
        <v>-7.5856856555204019E-12</v>
      </c>
      <c r="E3">
        <v>0</v>
      </c>
      <c r="F3">
        <v>36.330738868899566</v>
      </c>
      <c r="G3">
        <v>0</v>
      </c>
      <c r="H3">
        <v>0</v>
      </c>
      <c r="I3">
        <v>-0.72953251986160716</v>
      </c>
      <c r="J3">
        <v>0</v>
      </c>
      <c r="K3">
        <v>84.794598006906881</v>
      </c>
      <c r="L3">
        <v>-1.702701862955657</v>
      </c>
      <c r="M3">
        <v>-20.194108956580628</v>
      </c>
      <c r="N3">
        <v>0</v>
      </c>
      <c r="O3">
        <v>0</v>
      </c>
    </row>
    <row r="4" spans="1:15" x14ac:dyDescent="0.3">
      <c r="A4">
        <v>2</v>
      </c>
      <c r="B4" s="20">
        <v>45046</v>
      </c>
      <c r="C4">
        <v>-1.1315322954375815E-17</v>
      </c>
      <c r="D4">
        <v>-7.5856857187344491E-12</v>
      </c>
      <c r="E4">
        <v>0</v>
      </c>
      <c r="F4">
        <v>51.801978854814067</v>
      </c>
      <c r="G4">
        <v>0</v>
      </c>
      <c r="H4">
        <v>0</v>
      </c>
      <c r="I4">
        <v>-1.0443767759732943</v>
      </c>
      <c r="J4">
        <v>0</v>
      </c>
      <c r="K4">
        <v>120.90389872902949</v>
      </c>
      <c r="L4">
        <v>-2.4375366877609355</v>
      </c>
      <c r="M4">
        <v>-32.826824363360664</v>
      </c>
      <c r="N4">
        <v>0</v>
      </c>
      <c r="O4">
        <v>0</v>
      </c>
    </row>
    <row r="5" spans="1:15" x14ac:dyDescent="0.3">
      <c r="A5">
        <v>3</v>
      </c>
      <c r="B5" s="20">
        <v>45077</v>
      </c>
      <c r="C5">
        <v>-1.1252108906719693E-17</v>
      </c>
      <c r="D5">
        <v>-7.5856857819484962E-12</v>
      </c>
      <c r="E5">
        <v>0</v>
      </c>
      <c r="F5">
        <v>67.521537829736971</v>
      </c>
      <c r="G5">
        <v>0</v>
      </c>
      <c r="H5">
        <v>0</v>
      </c>
      <c r="I5">
        <v>-1.3669468378798149</v>
      </c>
      <c r="J5">
        <v>0</v>
      </c>
      <c r="K5">
        <v>157.59276676814036</v>
      </c>
      <c r="L5">
        <v>-3.1904032569525937</v>
      </c>
      <c r="M5">
        <v>-45.660071959094566</v>
      </c>
      <c r="N5">
        <v>0</v>
      </c>
      <c r="O5">
        <v>0</v>
      </c>
    </row>
    <row r="6" spans="1:15" x14ac:dyDescent="0.3">
      <c r="A6">
        <v>4</v>
      </c>
      <c r="B6" s="20">
        <v>45107</v>
      </c>
      <c r="C6">
        <v>-1.1188894858536789E-17</v>
      </c>
      <c r="D6">
        <v>-7.585685845162545E-12</v>
      </c>
      <c r="E6">
        <v>0</v>
      </c>
      <c r="F6">
        <v>73.097419606133968</v>
      </c>
      <c r="G6">
        <v>0</v>
      </c>
      <c r="H6">
        <v>0</v>
      </c>
      <c r="I6">
        <v>-1.4857706531810246</v>
      </c>
      <c r="J6">
        <v>0</v>
      </c>
      <c r="K6">
        <v>170.60666817735063</v>
      </c>
      <c r="L6">
        <v>-3.4677336379412989</v>
      </c>
      <c r="M6">
        <v>-50.208479206423902</v>
      </c>
      <c r="N6">
        <v>0</v>
      </c>
      <c r="O6">
        <v>0</v>
      </c>
    </row>
    <row r="7" spans="1:15" x14ac:dyDescent="0.3">
      <c r="A7">
        <v>5</v>
      </c>
      <c r="B7" s="20">
        <v>45138</v>
      </c>
      <c r="C7">
        <v>-1.1125680809827101E-17</v>
      </c>
      <c r="D7">
        <v>-7.5856859083765937E-12</v>
      </c>
      <c r="E7">
        <v>0</v>
      </c>
      <c r="F7">
        <v>75.339644316751802</v>
      </c>
      <c r="G7">
        <v>0</v>
      </c>
      <c r="H7">
        <v>0</v>
      </c>
      <c r="I7">
        <v>-1.5377004427981293</v>
      </c>
      <c r="J7">
        <v>0</v>
      </c>
      <c r="K7">
        <v>175.83993754916483</v>
      </c>
      <c r="L7">
        <v>-3.5889358422525097</v>
      </c>
      <c r="M7">
        <v>-52.034069728549831</v>
      </c>
      <c r="N7">
        <v>0</v>
      </c>
      <c r="O7">
        <v>0</v>
      </c>
    </row>
    <row r="8" spans="1:15" x14ac:dyDescent="0.3">
      <c r="A8">
        <v>6</v>
      </c>
      <c r="B8" s="20">
        <v>45169</v>
      </c>
      <c r="C8">
        <v>-1.106246676059063E-17</v>
      </c>
      <c r="D8">
        <v>-7.5856859715906425E-12</v>
      </c>
      <c r="E8">
        <v>0</v>
      </c>
      <c r="F8">
        <v>66.86203253949617</v>
      </c>
      <c r="G8">
        <v>0</v>
      </c>
      <c r="H8">
        <v>0</v>
      </c>
      <c r="I8">
        <v>-1.3703332407085167</v>
      </c>
      <c r="J8">
        <v>0</v>
      </c>
      <c r="K8">
        <v>156.05350586372566</v>
      </c>
      <c r="L8">
        <v>-3.1983069956457544</v>
      </c>
      <c r="M8">
        <v>-45.107557875050219</v>
      </c>
      <c r="N8">
        <v>0</v>
      </c>
      <c r="O8">
        <v>0</v>
      </c>
    </row>
    <row r="9" spans="1:15" x14ac:dyDescent="0.3">
      <c r="A9">
        <v>7</v>
      </c>
      <c r="B9" s="20">
        <v>45199</v>
      </c>
      <c r="C9">
        <v>-1.0999252710827376E-17</v>
      </c>
      <c r="D9">
        <v>-7.5856860348046929E-12</v>
      </c>
      <c r="E9">
        <v>0</v>
      </c>
      <c r="F9">
        <v>50.936876092108683</v>
      </c>
      <c r="G9">
        <v>0</v>
      </c>
      <c r="H9">
        <v>0</v>
      </c>
      <c r="I9">
        <v>-1.0481401434141535</v>
      </c>
      <c r="J9">
        <v>0</v>
      </c>
      <c r="K9">
        <v>118.8847809438676</v>
      </c>
      <c r="L9">
        <v>-2.446320247887567</v>
      </c>
      <c r="M9">
        <v>-32.102632494501975</v>
      </c>
      <c r="N9">
        <v>0</v>
      </c>
      <c r="O9">
        <v>0</v>
      </c>
    </row>
    <row r="10" spans="1:15" x14ac:dyDescent="0.3">
      <c r="A10">
        <v>8</v>
      </c>
      <c r="B10" s="20">
        <v>45230</v>
      </c>
      <c r="C10">
        <v>-1.0936038660537336E-17</v>
      </c>
      <c r="D10">
        <v>-7.5856860980187416E-12</v>
      </c>
      <c r="E10">
        <v>0</v>
      </c>
      <c r="F10">
        <v>36.400048362751342</v>
      </c>
      <c r="G10">
        <v>0</v>
      </c>
      <c r="H10">
        <v>0</v>
      </c>
      <c r="I10">
        <v>-0.75212054652769766</v>
      </c>
      <c r="J10">
        <v>0</v>
      </c>
      <c r="K10">
        <v>84.95636379676408</v>
      </c>
      <c r="L10">
        <v>-1.7554214800224057</v>
      </c>
      <c r="M10">
        <v>-20.233050866574665</v>
      </c>
      <c r="N10">
        <v>0</v>
      </c>
      <c r="O10">
        <v>0</v>
      </c>
    </row>
    <row r="11" spans="1:15" x14ac:dyDescent="0.3">
      <c r="A11">
        <v>9</v>
      </c>
      <c r="B11" s="20">
        <v>45260</v>
      </c>
      <c r="C11">
        <v>-1.0872824609720515E-17</v>
      </c>
      <c r="D11">
        <v>-7.5856861612327936E-12</v>
      </c>
      <c r="E11">
        <v>0</v>
      </c>
      <c r="F11">
        <v>21.797745684137606</v>
      </c>
      <c r="G11">
        <v>0</v>
      </c>
      <c r="H11">
        <v>0</v>
      </c>
      <c r="I11">
        <v>-0.45220723192869344</v>
      </c>
      <c r="J11">
        <v>0</v>
      </c>
      <c r="K11">
        <v>50.87513054477062</v>
      </c>
      <c r="L11">
        <v>-1.0554349193276151</v>
      </c>
      <c r="M11">
        <v>-8.3121418527463131</v>
      </c>
      <c r="N11">
        <v>0</v>
      </c>
      <c r="O11">
        <v>0</v>
      </c>
    </row>
    <row r="12" spans="1:15" x14ac:dyDescent="0.3">
      <c r="A12">
        <v>10</v>
      </c>
      <c r="B12" s="20">
        <v>45291</v>
      </c>
      <c r="C12">
        <v>-1.0809610558376907E-17</v>
      </c>
      <c r="D12">
        <v>-7.585686224446844E-12</v>
      </c>
      <c r="E12">
        <v>0</v>
      </c>
      <c r="F12">
        <v>14.777992153002842</v>
      </c>
      <c r="G12">
        <v>0</v>
      </c>
      <c r="H12">
        <v>-11.112818458360248</v>
      </c>
      <c r="I12">
        <v>-0.30785045375230291</v>
      </c>
      <c r="J12">
        <v>0</v>
      </c>
      <c r="K12">
        <v>34.491285973701849</v>
      </c>
      <c r="L12">
        <v>-0.7185115493072568</v>
      </c>
      <c r="M12">
        <v>0.19664225034544411</v>
      </c>
      <c r="N12">
        <v>0</v>
      </c>
      <c r="O12">
        <v>0</v>
      </c>
    </row>
    <row r="13" spans="1:15" x14ac:dyDescent="0.3">
      <c r="A13">
        <v>11</v>
      </c>
      <c r="B13" s="20">
        <v>45322</v>
      </c>
      <c r="C13">
        <v>-1.0746396506506517E-17</v>
      </c>
      <c r="D13">
        <v>-7.585686287660896E-12</v>
      </c>
      <c r="E13">
        <v>0</v>
      </c>
      <c r="F13">
        <v>14.678123512396027</v>
      </c>
      <c r="G13">
        <v>0</v>
      </c>
      <c r="H13">
        <v>0</v>
      </c>
      <c r="I13">
        <v>-0.30703886255695012</v>
      </c>
      <c r="J13">
        <v>0</v>
      </c>
      <c r="K13">
        <v>34.258196267921043</v>
      </c>
      <c r="L13">
        <v>-0.71661732553701596</v>
      </c>
      <c r="M13">
        <v>-2.4989992313891101</v>
      </c>
      <c r="N13">
        <v>0</v>
      </c>
      <c r="O13">
        <v>0</v>
      </c>
    </row>
    <row r="14" spans="1:15" x14ac:dyDescent="0.3">
      <c r="A14">
        <v>12</v>
      </c>
      <c r="B14" s="20">
        <v>45351</v>
      </c>
      <c r="C14">
        <v>-1.0683182454109342E-17</v>
      </c>
      <c r="D14">
        <v>-7.5856863508749496E-12</v>
      </c>
      <c r="E14">
        <v>0</v>
      </c>
      <c r="F14">
        <v>21.73633907706051</v>
      </c>
      <c r="G14">
        <v>0</v>
      </c>
      <c r="H14">
        <v>0</v>
      </c>
      <c r="I14">
        <v>-0.45644833425484133</v>
      </c>
      <c r="J14">
        <v>0</v>
      </c>
      <c r="K14">
        <v>50.731809799743665</v>
      </c>
      <c r="L14">
        <v>-1.0653334949703943</v>
      </c>
      <c r="M14">
        <v>-8.2574250952280686</v>
      </c>
      <c r="N14">
        <v>0</v>
      </c>
      <c r="O14">
        <v>0</v>
      </c>
    </row>
    <row r="15" spans="1:15" x14ac:dyDescent="0.3">
      <c r="A15">
        <v>13</v>
      </c>
      <c r="B15" s="20">
        <v>45382</v>
      </c>
      <c r="C15">
        <v>-1.0619968401185385E-17</v>
      </c>
      <c r="D15">
        <v>-7.5856864140890015E-12</v>
      </c>
      <c r="E15">
        <v>0</v>
      </c>
      <c r="F15">
        <v>37.100215542693064</v>
      </c>
      <c r="G15">
        <v>0</v>
      </c>
      <c r="H15">
        <v>0</v>
      </c>
      <c r="I15">
        <v>-0.78231220041316585</v>
      </c>
      <c r="J15">
        <v>0</v>
      </c>
      <c r="K15">
        <v>86.59052804470376</v>
      </c>
      <c r="L15">
        <v>-1.8258876812086822</v>
      </c>
      <c r="M15">
        <v>-20.791469259777077</v>
      </c>
      <c r="N15">
        <v>0</v>
      </c>
      <c r="O15">
        <v>0</v>
      </c>
    </row>
    <row r="16" spans="1:15" x14ac:dyDescent="0.3">
      <c r="A16">
        <v>14</v>
      </c>
      <c r="B16" s="20">
        <v>45412</v>
      </c>
      <c r="C16">
        <v>-1.0556754347734643E-17</v>
      </c>
      <c r="D16">
        <v>-7.5856864773030552E-12</v>
      </c>
      <c r="E16">
        <v>0</v>
      </c>
      <c r="F16">
        <v>51.542968960539973</v>
      </c>
      <c r="G16">
        <v>0</v>
      </c>
      <c r="H16">
        <v>0</v>
      </c>
      <c r="I16">
        <v>-1.0912230509587062</v>
      </c>
      <c r="J16">
        <v>0</v>
      </c>
      <c r="K16">
        <v>120.29937923538431</v>
      </c>
      <c r="L16">
        <v>-2.5468741573302505</v>
      </c>
      <c r="M16">
        <v>-32.571896080242162</v>
      </c>
      <c r="N16">
        <v>0</v>
      </c>
      <c r="O16">
        <v>0</v>
      </c>
    </row>
    <row r="17" spans="1:15" x14ac:dyDescent="0.3">
      <c r="A17">
        <v>15</v>
      </c>
      <c r="B17" s="20">
        <v>45443</v>
      </c>
      <c r="C17">
        <v>-1.0493540293757117E-17</v>
      </c>
      <c r="D17">
        <v>-7.5856865405171088E-12</v>
      </c>
      <c r="E17">
        <v>0</v>
      </c>
      <c r="F17">
        <v>67.183930140588274</v>
      </c>
      <c r="G17">
        <v>0</v>
      </c>
      <c r="H17">
        <v>0</v>
      </c>
      <c r="I17">
        <v>-1.4282622260912003</v>
      </c>
      <c r="J17">
        <v>0</v>
      </c>
      <c r="K17">
        <v>156.80480293429963</v>
      </c>
      <c r="L17">
        <v>-3.3335111005277929</v>
      </c>
      <c r="M17">
        <v>-45.327573270400563</v>
      </c>
      <c r="N17">
        <v>0</v>
      </c>
      <c r="O17">
        <v>0</v>
      </c>
    </row>
    <row r="18" spans="1:15" x14ac:dyDescent="0.3">
      <c r="A18">
        <v>16</v>
      </c>
      <c r="B18" s="20">
        <v>45473</v>
      </c>
      <c r="C18">
        <v>-1.0430326239252808E-17</v>
      </c>
      <c r="D18">
        <v>-7.585686603731164E-12</v>
      </c>
      <c r="E18">
        <v>0</v>
      </c>
      <c r="F18">
        <v>72.731932508103284</v>
      </c>
      <c r="G18">
        <v>0</v>
      </c>
      <c r="H18">
        <v>0</v>
      </c>
      <c r="I18">
        <v>-1.5524159694935289</v>
      </c>
      <c r="J18">
        <v>0</v>
      </c>
      <c r="K18">
        <v>169.75363483646382</v>
      </c>
      <c r="L18">
        <v>-3.6232813361633007</v>
      </c>
      <c r="M18">
        <v>-49.848300843060898</v>
      </c>
      <c r="N18">
        <v>0</v>
      </c>
      <c r="O18">
        <v>0</v>
      </c>
    </row>
    <row r="19" spans="1:15" x14ac:dyDescent="0.3">
      <c r="A19">
        <v>17</v>
      </c>
      <c r="B19" s="20">
        <v>45504</v>
      </c>
      <c r="C19">
        <v>-1.0367112184221715E-17</v>
      </c>
      <c r="D19">
        <v>-7.5856866669452192E-12</v>
      </c>
      <c r="E19">
        <v>0</v>
      </c>
      <c r="F19">
        <v>74.962946095168022</v>
      </c>
      <c r="G19">
        <v>0</v>
      </c>
      <c r="H19">
        <v>0</v>
      </c>
      <c r="I19">
        <v>-1.6066751073499896</v>
      </c>
      <c r="J19">
        <v>0</v>
      </c>
      <c r="K19">
        <v>174.96073786141895</v>
      </c>
      <c r="L19">
        <v>-3.749920152933373</v>
      </c>
      <c r="M19">
        <v>-51.662605507409232</v>
      </c>
      <c r="N19">
        <v>0</v>
      </c>
      <c r="O19">
        <v>0</v>
      </c>
    </row>
    <row r="20" spans="1:15" x14ac:dyDescent="0.3">
      <c r="A20">
        <v>18</v>
      </c>
      <c r="B20" s="20">
        <v>45535</v>
      </c>
      <c r="C20">
        <v>-1.0303898128663838E-17</v>
      </c>
      <c r="D20">
        <v>-7.5856867301592744E-12</v>
      </c>
      <c r="E20">
        <v>0</v>
      </c>
      <c r="F20">
        <v>66.527722376798664</v>
      </c>
      <c r="G20">
        <v>0</v>
      </c>
      <c r="H20">
        <v>0</v>
      </c>
      <c r="I20">
        <v>-1.431800528465903</v>
      </c>
      <c r="J20">
        <v>0</v>
      </c>
      <c r="K20">
        <v>155.27323833440698</v>
      </c>
      <c r="L20">
        <v>-3.3417693671315214</v>
      </c>
      <c r="M20">
        <v>-44.777681037235389</v>
      </c>
      <c r="N20">
        <v>0</v>
      </c>
      <c r="O20">
        <v>0</v>
      </c>
    </row>
    <row r="21" spans="1:15" x14ac:dyDescent="0.3">
      <c r="A21">
        <v>19</v>
      </c>
      <c r="B21" s="20">
        <v>45565</v>
      </c>
      <c r="C21">
        <v>-1.0240684072579178E-17</v>
      </c>
      <c r="D21">
        <v>-7.5856867933733296E-12</v>
      </c>
      <c r="E21">
        <v>0</v>
      </c>
      <c r="F21">
        <v>50.682191711648116</v>
      </c>
      <c r="G21">
        <v>0</v>
      </c>
      <c r="H21">
        <v>0</v>
      </c>
      <c r="I21">
        <v>-1.0951552269656513</v>
      </c>
      <c r="J21">
        <v>0</v>
      </c>
      <c r="K21">
        <v>118.29035703914822</v>
      </c>
      <c r="L21">
        <v>-2.5560517103936355</v>
      </c>
      <c r="M21">
        <v>-31.851168786692597</v>
      </c>
      <c r="N21">
        <v>0</v>
      </c>
      <c r="O21">
        <v>0</v>
      </c>
    </row>
    <row r="22" spans="1:15" x14ac:dyDescent="0.3">
      <c r="A22">
        <v>20</v>
      </c>
      <c r="B22" s="20">
        <v>45596</v>
      </c>
      <c r="C22">
        <v>-1.0177470015967733E-17</v>
      </c>
      <c r="D22">
        <v>-7.5856868565873865E-12</v>
      </c>
      <c r="E22">
        <v>0</v>
      </c>
      <c r="F22">
        <v>36.218048120937581</v>
      </c>
      <c r="G22">
        <v>0</v>
      </c>
      <c r="H22">
        <v>0</v>
      </c>
      <c r="I22">
        <v>-0.78585745714788946</v>
      </c>
      <c r="J22">
        <v>0</v>
      </c>
      <c r="K22">
        <v>84.531581977780249</v>
      </c>
      <c r="L22">
        <v>-1.8341621790309519</v>
      </c>
      <c r="M22">
        <v>-20.05323594896808</v>
      </c>
      <c r="N22">
        <v>0</v>
      </c>
      <c r="O22">
        <v>0</v>
      </c>
    </row>
    <row r="23" spans="1:15" x14ac:dyDescent="0.3">
      <c r="A23">
        <v>21</v>
      </c>
      <c r="B23" s="20">
        <v>45626</v>
      </c>
      <c r="C23">
        <v>-1.0114255958829507E-17</v>
      </c>
      <c r="D23">
        <v>-7.5856869198014433E-12</v>
      </c>
      <c r="E23">
        <v>0</v>
      </c>
      <c r="F23">
        <v>21.688756955716912</v>
      </c>
      <c r="G23">
        <v>0</v>
      </c>
      <c r="H23">
        <v>0</v>
      </c>
      <c r="I23">
        <v>-0.47249131409586081</v>
      </c>
      <c r="J23">
        <v>0</v>
      </c>
      <c r="K23">
        <v>50.620754892046754</v>
      </c>
      <c r="L23">
        <v>-1.1027772153241437</v>
      </c>
      <c r="M23">
        <v>-8.2043941629192485</v>
      </c>
      <c r="N23">
        <v>0</v>
      </c>
      <c r="O23">
        <v>0</v>
      </c>
    </row>
    <row r="24" spans="1:15" x14ac:dyDescent="0.3">
      <c r="A24">
        <v>22</v>
      </c>
      <c r="B24" s="20">
        <v>45657</v>
      </c>
      <c r="C24">
        <v>-1.0051041901164495E-17</v>
      </c>
      <c r="D24">
        <v>-7.5856869830155017E-12</v>
      </c>
      <c r="E24">
        <v>0</v>
      </c>
      <c r="F24">
        <v>14.704102192237821</v>
      </c>
      <c r="G24">
        <v>0</v>
      </c>
      <c r="H24">
        <v>-13.965307078619395</v>
      </c>
      <c r="I24">
        <v>-0.32165930831767203</v>
      </c>
      <c r="J24">
        <v>0</v>
      </c>
      <c r="K24">
        <v>34.318829543833324</v>
      </c>
      <c r="L24">
        <v>-0.75074090407021921</v>
      </c>
      <c r="M24">
        <v>0.98286055540070172</v>
      </c>
      <c r="N24">
        <v>0</v>
      </c>
      <c r="O24">
        <v>0</v>
      </c>
    </row>
    <row r="25" spans="1:15" x14ac:dyDescent="0.3">
      <c r="A25">
        <v>23</v>
      </c>
      <c r="B25" s="20">
        <v>45688</v>
      </c>
      <c r="C25">
        <v>-9.9878278429726981E-18</v>
      </c>
      <c r="D25">
        <v>-7.5856870462295602E-12</v>
      </c>
      <c r="E25">
        <v>0</v>
      </c>
      <c r="F25">
        <v>15.191152332039529</v>
      </c>
      <c r="G25">
        <v>0</v>
      </c>
      <c r="H25">
        <v>0</v>
      </c>
      <c r="I25">
        <v>-0.33369275253681607</v>
      </c>
      <c r="J25">
        <v>0</v>
      </c>
      <c r="K25">
        <v>35.455586518766395</v>
      </c>
      <c r="L25">
        <v>-0.77882651688648752</v>
      </c>
      <c r="M25">
        <v>-2.904388228678989</v>
      </c>
      <c r="N25">
        <v>0</v>
      </c>
      <c r="O25">
        <v>0</v>
      </c>
    </row>
    <row r="26" spans="1:15" x14ac:dyDescent="0.3">
      <c r="A26">
        <v>24</v>
      </c>
      <c r="B26" s="20">
        <v>45716</v>
      </c>
      <c r="C26">
        <v>-9.9246137842541179E-18</v>
      </c>
      <c r="D26">
        <v>-7.5856871094436186E-12</v>
      </c>
      <c r="E26">
        <v>0</v>
      </c>
      <c r="F26">
        <v>21.041482847646272</v>
      </c>
      <c r="G26">
        <v>0</v>
      </c>
      <c r="H26">
        <v>0</v>
      </c>
      <c r="I26">
        <v>-0.46393463854843148</v>
      </c>
      <c r="J26">
        <v>0</v>
      </c>
      <c r="K26">
        <v>49.110041113497289</v>
      </c>
      <c r="L26">
        <v>-1.082806251729431</v>
      </c>
      <c r="M26">
        <v>-7.672029101049759</v>
      </c>
      <c r="N26">
        <v>0</v>
      </c>
      <c r="O26">
        <v>0</v>
      </c>
    </row>
    <row r="27" spans="1:15" x14ac:dyDescent="0.3">
      <c r="A27">
        <v>25</v>
      </c>
      <c r="B27" s="20">
        <v>45747</v>
      </c>
      <c r="C27">
        <v>-9.8613997250087543E-18</v>
      </c>
      <c r="D27">
        <v>-7.5856871726576787E-12</v>
      </c>
      <c r="E27">
        <v>0</v>
      </c>
      <c r="F27">
        <v>36.914714464979589</v>
      </c>
      <c r="G27">
        <v>0</v>
      </c>
      <c r="H27">
        <v>0</v>
      </c>
      <c r="I27">
        <v>-0.81729419563818406</v>
      </c>
      <c r="J27">
        <v>0</v>
      </c>
      <c r="K27">
        <v>86.157575404480212</v>
      </c>
      <c r="L27">
        <v>-1.9075343615387701</v>
      </c>
      <c r="M27">
        <v>-20.607698661404047</v>
      </c>
      <c r="N27">
        <v>0</v>
      </c>
      <c r="O27">
        <v>0</v>
      </c>
    </row>
    <row r="28" spans="1:15" x14ac:dyDescent="0.3">
      <c r="A28">
        <v>26</v>
      </c>
      <c r="B28" s="20">
        <v>45777</v>
      </c>
      <c r="C28">
        <v>-9.7981856652366072E-18</v>
      </c>
      <c r="D28">
        <v>-7.5856872358717372E-12</v>
      </c>
      <c r="E28">
        <v>0</v>
      </c>
      <c r="F28">
        <v>51.285254115737267</v>
      </c>
      <c r="G28">
        <v>0</v>
      </c>
      <c r="H28">
        <v>0</v>
      </c>
      <c r="I28">
        <v>-1.1400183522948055</v>
      </c>
      <c r="J28">
        <v>0</v>
      </c>
      <c r="K28">
        <v>119.69788233920735</v>
      </c>
      <c r="L28">
        <v>-2.6607605821660063</v>
      </c>
      <c r="M28">
        <v>-32.316422713454287</v>
      </c>
      <c r="N28">
        <v>0</v>
      </c>
      <c r="O28">
        <v>0</v>
      </c>
    </row>
    <row r="29" spans="1:15" x14ac:dyDescent="0.3">
      <c r="A29">
        <v>27</v>
      </c>
      <c r="B29" s="20">
        <v>45808</v>
      </c>
      <c r="C29">
        <v>-9.7349716049376767E-18</v>
      </c>
      <c r="D29">
        <v>-7.5856872990857972E-12</v>
      </c>
      <c r="E29">
        <v>0</v>
      </c>
      <c r="F29">
        <v>66.848010489885297</v>
      </c>
      <c r="G29">
        <v>0</v>
      </c>
      <c r="H29">
        <v>0</v>
      </c>
      <c r="I29">
        <v>-1.4921286241184948</v>
      </c>
      <c r="J29">
        <v>0</v>
      </c>
      <c r="K29">
        <v>156.02077891962807</v>
      </c>
      <c r="L29">
        <v>-3.4825729064661637</v>
      </c>
      <c r="M29">
        <v>-44.994355303065511</v>
      </c>
      <c r="N29">
        <v>0</v>
      </c>
      <c r="O29">
        <v>0</v>
      </c>
    </row>
    <row r="30" spans="1:15" x14ac:dyDescent="0.3">
      <c r="A30">
        <v>28</v>
      </c>
      <c r="B30" s="20">
        <v>45838</v>
      </c>
      <c r="C30">
        <v>-9.6717575441119628E-18</v>
      </c>
      <c r="D30">
        <v>-7.5856873622998589E-12</v>
      </c>
      <c r="E30">
        <v>0</v>
      </c>
      <c r="F30">
        <v>72.368272845562743</v>
      </c>
      <c r="G30">
        <v>0</v>
      </c>
      <c r="H30">
        <v>0</v>
      </c>
      <c r="I30">
        <v>-1.6218340458106095</v>
      </c>
      <c r="J30">
        <v>0</v>
      </c>
      <c r="K30">
        <v>168.90486666228145</v>
      </c>
      <c r="L30">
        <v>-3.7853005534701776</v>
      </c>
      <c r="M30">
        <v>-49.487334560474189</v>
      </c>
      <c r="N30">
        <v>0</v>
      </c>
      <c r="O30">
        <v>0</v>
      </c>
    </row>
    <row r="31" spans="1:15" x14ac:dyDescent="0.3">
      <c r="A31">
        <v>29</v>
      </c>
      <c r="B31" s="20">
        <v>45869</v>
      </c>
      <c r="C31">
        <v>-9.6085434827594639E-18</v>
      </c>
      <c r="D31">
        <v>-7.5856874255139206E-12</v>
      </c>
      <c r="E31">
        <v>0</v>
      </c>
      <c r="F31">
        <v>74.588131364692146</v>
      </c>
      <c r="G31">
        <v>0</v>
      </c>
      <c r="H31">
        <v>0</v>
      </c>
      <c r="I31">
        <v>-1.6785194437974957</v>
      </c>
      <c r="J31">
        <v>0</v>
      </c>
      <c r="K31">
        <v>174.08593417211179</v>
      </c>
      <c r="L31">
        <v>-3.9176021714610574</v>
      </c>
      <c r="M31">
        <v>-51.290319313719678</v>
      </c>
      <c r="N31">
        <v>0</v>
      </c>
      <c r="O31">
        <v>0</v>
      </c>
    </row>
    <row r="32" spans="1:15" x14ac:dyDescent="0.3">
      <c r="A32">
        <v>30</v>
      </c>
      <c r="B32" s="20">
        <v>45900</v>
      </c>
      <c r="C32">
        <v>-9.54532942088018E-18</v>
      </c>
      <c r="D32">
        <v>-7.5856874887279823E-12</v>
      </c>
      <c r="E32">
        <v>0</v>
      </c>
      <c r="F32">
        <v>66.195083764914642</v>
      </c>
      <c r="G32">
        <v>0</v>
      </c>
      <c r="H32">
        <v>0</v>
      </c>
      <c r="I32">
        <v>-1.4958251457779166</v>
      </c>
      <c r="J32">
        <v>0</v>
      </c>
      <c r="K32">
        <v>154.4968721427349</v>
      </c>
      <c r="L32">
        <v>-3.4912004510164034</v>
      </c>
      <c r="M32">
        <v>-44.44706591104714</v>
      </c>
      <c r="N32">
        <v>0</v>
      </c>
      <c r="O32">
        <v>0</v>
      </c>
    </row>
    <row r="33" spans="1:15" x14ac:dyDescent="0.3">
      <c r="A33">
        <v>31</v>
      </c>
      <c r="B33" s="20">
        <v>45930</v>
      </c>
      <c r="C33">
        <v>-9.4821153584741142E-18</v>
      </c>
      <c r="D33">
        <v>-7.5856875519420439E-12</v>
      </c>
      <c r="E33">
        <v>0</v>
      </c>
      <c r="F33">
        <v>50.428780753089853</v>
      </c>
      <c r="G33">
        <v>0</v>
      </c>
      <c r="H33">
        <v>0</v>
      </c>
      <c r="I33">
        <v>-1.1441263601016711</v>
      </c>
      <c r="J33">
        <v>0</v>
      </c>
      <c r="K33">
        <v>117.69890525395242</v>
      </c>
      <c r="L33">
        <v>-2.6703485201336155</v>
      </c>
      <c r="M33">
        <v>-31.59913611503508</v>
      </c>
      <c r="N33">
        <v>0</v>
      </c>
      <c r="O33">
        <v>0</v>
      </c>
    </row>
    <row r="34" spans="1:15" x14ac:dyDescent="0.3">
      <c r="A34">
        <v>32</v>
      </c>
      <c r="B34" s="20">
        <v>45961</v>
      </c>
      <c r="C34">
        <v>-9.4189012955412634E-18</v>
      </c>
      <c r="D34">
        <v>-7.5856876151561072E-12</v>
      </c>
      <c r="E34">
        <v>0</v>
      </c>
      <c r="F34">
        <v>36.036957880332871</v>
      </c>
      <c r="G34">
        <v>0</v>
      </c>
      <c r="H34">
        <v>0</v>
      </c>
      <c r="I34">
        <v>-0.82099798262988155</v>
      </c>
      <c r="J34">
        <v>0</v>
      </c>
      <c r="K34">
        <v>84.108924067891294</v>
      </c>
      <c r="L34">
        <v>-1.9161788631052674</v>
      </c>
      <c r="M34">
        <v>-19.873009608955588</v>
      </c>
      <c r="N34">
        <v>0</v>
      </c>
      <c r="O34">
        <v>0</v>
      </c>
    </row>
    <row r="35" spans="1:15" x14ac:dyDescent="0.3">
      <c r="A35">
        <v>33</v>
      </c>
      <c r="B35" s="20">
        <v>45991</v>
      </c>
      <c r="C35">
        <v>-9.3556872320816276E-18</v>
      </c>
      <c r="D35">
        <v>-7.5856876783701705E-12</v>
      </c>
      <c r="E35">
        <v>0</v>
      </c>
      <c r="F35">
        <v>21.580313170938322</v>
      </c>
      <c r="G35">
        <v>0</v>
      </c>
      <c r="H35">
        <v>0</v>
      </c>
      <c r="I35">
        <v>-0.49361930990729591</v>
      </c>
      <c r="J35">
        <v>0</v>
      </c>
      <c r="K35">
        <v>50.367651117586504</v>
      </c>
      <c r="L35">
        <v>-1.1520891744887252</v>
      </c>
      <c r="M35">
        <v>-8.096397284365537</v>
      </c>
      <c r="N35">
        <v>0</v>
      </c>
      <c r="O35">
        <v>0</v>
      </c>
    </row>
    <row r="36" spans="1:15" x14ac:dyDescent="0.3">
      <c r="A36">
        <v>34</v>
      </c>
      <c r="B36" s="20">
        <v>46022</v>
      </c>
      <c r="C36">
        <v>-9.29247316809521E-18</v>
      </c>
      <c r="D36">
        <v>-7.5856877415842354E-12</v>
      </c>
      <c r="E36">
        <v>0</v>
      </c>
      <c r="F36">
        <v>14.630581681276627</v>
      </c>
      <c r="G36">
        <v>0</v>
      </c>
      <c r="H36">
        <v>-14.663097430515439</v>
      </c>
      <c r="I36">
        <v>-0.33604267646878694</v>
      </c>
      <c r="J36">
        <v>0</v>
      </c>
      <c r="K36">
        <v>34.147235396114148</v>
      </c>
      <c r="L36">
        <v>-0.78431115224932224</v>
      </c>
      <c r="M36">
        <v>1.230575212127359</v>
      </c>
      <c r="N36">
        <v>0</v>
      </c>
      <c r="O36">
        <v>0</v>
      </c>
    </row>
    <row r="37" spans="1:15" x14ac:dyDescent="0.3">
      <c r="A37">
        <v>35</v>
      </c>
      <c r="B37" s="20">
        <v>46053</v>
      </c>
      <c r="C37">
        <v>-9.2292591035820089E-18</v>
      </c>
      <c r="D37">
        <v>-7.5856878047982987E-12</v>
      </c>
      <c r="E37">
        <v>0</v>
      </c>
      <c r="F37">
        <v>15.115196570379325</v>
      </c>
      <c r="G37">
        <v>0</v>
      </c>
      <c r="H37">
        <v>0</v>
      </c>
      <c r="I37">
        <v>-0.34861421006962834</v>
      </c>
      <c r="J37">
        <v>0</v>
      </c>
      <c r="K37">
        <v>35.27830858617255</v>
      </c>
      <c r="L37">
        <v>-0.81365264573945884</v>
      </c>
      <c r="M37">
        <v>-2.828642908519031</v>
      </c>
      <c r="N37">
        <v>0</v>
      </c>
      <c r="O37">
        <v>0</v>
      </c>
    </row>
    <row r="38" spans="1:15" x14ac:dyDescent="0.3">
      <c r="A38">
        <v>36</v>
      </c>
      <c r="B38" s="20">
        <v>46081</v>
      </c>
      <c r="C38">
        <v>-9.1660450385420228E-18</v>
      </c>
      <c r="D38">
        <v>-7.5856878680123637E-12</v>
      </c>
      <c r="E38">
        <v>0</v>
      </c>
      <c r="F38">
        <v>20.936275433408031</v>
      </c>
      <c r="G38">
        <v>0</v>
      </c>
      <c r="H38">
        <v>0</v>
      </c>
      <c r="I38">
        <v>-0.48468001271216099</v>
      </c>
      <c r="J38">
        <v>0</v>
      </c>
      <c r="K38">
        <v>48.864490907929778</v>
      </c>
      <c r="L38">
        <v>-1.1312251861492362</v>
      </c>
      <c r="M38">
        <v>-7.5670486189524366</v>
      </c>
      <c r="N38">
        <v>0</v>
      </c>
      <c r="O38">
        <v>0</v>
      </c>
    </row>
    <row r="39" spans="1:15" x14ac:dyDescent="0.3">
      <c r="A39">
        <v>37</v>
      </c>
      <c r="B39" s="20">
        <v>46112</v>
      </c>
      <c r="C39">
        <v>-9.1028309729752533E-18</v>
      </c>
      <c r="D39">
        <v>-7.5856879312264302E-12</v>
      </c>
      <c r="E39">
        <v>0</v>
      </c>
      <c r="F39">
        <v>36.730140892654674</v>
      </c>
      <c r="G39">
        <v>0</v>
      </c>
      <c r="H39">
        <v>0</v>
      </c>
      <c r="I39">
        <v>-0.85384045125601793</v>
      </c>
      <c r="J39">
        <v>0</v>
      </c>
      <c r="K39">
        <v>85.726787527457773</v>
      </c>
      <c r="L39">
        <v>-1.9928319676500701</v>
      </c>
      <c r="M39">
        <v>-20.423397333634924</v>
      </c>
      <c r="N39">
        <v>0</v>
      </c>
      <c r="O39">
        <v>0</v>
      </c>
    </row>
    <row r="40" spans="1:15" x14ac:dyDescent="0.3">
      <c r="A40">
        <v>38</v>
      </c>
      <c r="B40" s="20">
        <v>46142</v>
      </c>
      <c r="C40">
        <v>-9.0396169068817003E-18</v>
      </c>
      <c r="D40">
        <v>-7.5856879944404967E-12</v>
      </c>
      <c r="E40">
        <v>0</v>
      </c>
      <c r="F40">
        <v>51.02882784515856</v>
      </c>
      <c r="G40">
        <v>0</v>
      </c>
      <c r="H40">
        <v>0</v>
      </c>
      <c r="I40">
        <v>-1.190995591989326</v>
      </c>
      <c r="J40">
        <v>0</v>
      </c>
      <c r="K40">
        <v>119.09939292751126</v>
      </c>
      <c r="L40">
        <v>-2.7797395702619214</v>
      </c>
      <c r="M40">
        <v>-32.06020473593798</v>
      </c>
      <c r="N40">
        <v>0</v>
      </c>
      <c r="O40">
        <v>0</v>
      </c>
    </row>
    <row r="41" spans="1:15" x14ac:dyDescent="0.3">
      <c r="A41">
        <v>39</v>
      </c>
      <c r="B41" s="20">
        <v>46173</v>
      </c>
      <c r="C41">
        <v>-8.9764028402613639E-18</v>
      </c>
      <c r="D41">
        <v>-7.5856880576545632E-12</v>
      </c>
      <c r="E41">
        <v>0</v>
      </c>
      <c r="F41">
        <v>66.513770437435852</v>
      </c>
      <c r="G41">
        <v>0</v>
      </c>
      <c r="H41">
        <v>0</v>
      </c>
      <c r="I41">
        <v>-1.5588508820309475</v>
      </c>
      <c r="J41">
        <v>0</v>
      </c>
      <c r="K41">
        <v>155.24067502502987</v>
      </c>
      <c r="L41">
        <v>-3.6383001835307871</v>
      </c>
      <c r="M41">
        <v>-44.660156932559332</v>
      </c>
      <c r="N41">
        <v>0</v>
      </c>
      <c r="O41">
        <v>0</v>
      </c>
    </row>
    <row r="42" spans="1:15" x14ac:dyDescent="0.3">
      <c r="A42">
        <v>40</v>
      </c>
      <c r="B42" s="20">
        <v>46203</v>
      </c>
      <c r="C42">
        <v>-8.913188773114241E-18</v>
      </c>
      <c r="D42">
        <v>-7.5856881208686298E-12</v>
      </c>
      <c r="E42">
        <v>0</v>
      </c>
      <c r="F42">
        <v>72.006431481334886</v>
      </c>
      <c r="G42">
        <v>0</v>
      </c>
      <c r="H42">
        <v>0</v>
      </c>
      <c r="I42">
        <v>-1.6943562317312104</v>
      </c>
      <c r="J42">
        <v>0</v>
      </c>
      <c r="K42">
        <v>168.06034232896994</v>
      </c>
      <c r="L42">
        <v>-3.9545646475451726</v>
      </c>
      <c r="M42">
        <v>-49.125296566090441</v>
      </c>
      <c r="N42">
        <v>0</v>
      </c>
      <c r="O42">
        <v>0</v>
      </c>
    </row>
    <row r="43" spans="1:15" x14ac:dyDescent="0.3">
      <c r="A43">
        <v>41</v>
      </c>
      <c r="B43" s="20">
        <v>46234</v>
      </c>
      <c r="C43">
        <v>-8.8499747054403362E-18</v>
      </c>
      <c r="D43">
        <v>-7.5856881840826979E-12</v>
      </c>
      <c r="E43">
        <v>0</v>
      </c>
      <c r="F43">
        <v>74.215190707868658</v>
      </c>
      <c r="G43">
        <v>0</v>
      </c>
      <c r="H43">
        <v>0</v>
      </c>
      <c r="I43">
        <v>-1.7535763828775881</v>
      </c>
      <c r="J43">
        <v>0</v>
      </c>
      <c r="K43">
        <v>173.21550450125113</v>
      </c>
      <c r="L43">
        <v>-4.0927822854656606</v>
      </c>
      <c r="M43">
        <v>-50.916917468527473</v>
      </c>
      <c r="N43">
        <v>0</v>
      </c>
      <c r="O43">
        <v>0</v>
      </c>
    </row>
    <row r="44" spans="1:15" x14ac:dyDescent="0.3">
      <c r="A44">
        <v>42</v>
      </c>
      <c r="B44" s="20">
        <v>46265</v>
      </c>
      <c r="C44">
        <v>-8.7867606372396479E-18</v>
      </c>
      <c r="D44">
        <v>-7.585688247296766E-12</v>
      </c>
      <c r="E44">
        <v>0</v>
      </c>
      <c r="F44">
        <v>65.864108346090035</v>
      </c>
      <c r="G44">
        <v>0</v>
      </c>
      <c r="H44">
        <v>0</v>
      </c>
      <c r="I44">
        <v>-1.5627126979334747</v>
      </c>
      <c r="J44">
        <v>0</v>
      </c>
      <c r="K44">
        <v>153.72438778202113</v>
      </c>
      <c r="L44">
        <v>-3.6473135187181924</v>
      </c>
      <c r="M44">
        <v>-44.115450811198208</v>
      </c>
      <c r="N44">
        <v>0</v>
      </c>
      <c r="O44">
        <v>0</v>
      </c>
    </row>
    <row r="45" spans="1:15" x14ac:dyDescent="0.3">
      <c r="A45">
        <v>43</v>
      </c>
      <c r="B45" s="20">
        <v>46295</v>
      </c>
      <c r="C45">
        <v>-8.7235465685121747E-18</v>
      </c>
      <c r="D45">
        <v>-7.5856883105108342E-12</v>
      </c>
      <c r="E45">
        <v>0</v>
      </c>
      <c r="F45">
        <v>50.176636849324375</v>
      </c>
      <c r="G45">
        <v>0</v>
      </c>
      <c r="H45">
        <v>0</v>
      </c>
      <c r="I45">
        <v>-1.1952872941184944</v>
      </c>
      <c r="J45">
        <v>0</v>
      </c>
      <c r="K45">
        <v>117.11041072768259</v>
      </c>
      <c r="L45">
        <v>-2.7897562439695891</v>
      </c>
      <c r="M45">
        <v>-31.346334343063052</v>
      </c>
      <c r="N45">
        <v>0</v>
      </c>
      <c r="O45">
        <v>0</v>
      </c>
    </row>
    <row r="46" spans="1:15" x14ac:dyDescent="0.3">
      <c r="A46">
        <v>44</v>
      </c>
      <c r="B46" s="20">
        <v>46326</v>
      </c>
      <c r="C46">
        <v>-8.6603324992579164E-18</v>
      </c>
      <c r="D46">
        <v>-7.5856883737249039E-12</v>
      </c>
      <c r="E46">
        <v>0</v>
      </c>
      <c r="F46">
        <v>35.856773090931192</v>
      </c>
      <c r="G46">
        <v>0</v>
      </c>
      <c r="H46">
        <v>0</v>
      </c>
      <c r="I46">
        <v>-0.85770985736855987</v>
      </c>
      <c r="J46">
        <v>0</v>
      </c>
      <c r="K46">
        <v>83.688379447551796</v>
      </c>
      <c r="L46">
        <v>-2.0018630181063357</v>
      </c>
      <c r="M46">
        <v>-19.692228249085357</v>
      </c>
      <c r="N46">
        <v>0</v>
      </c>
      <c r="O46">
        <v>0</v>
      </c>
    </row>
    <row r="47" spans="1:15" x14ac:dyDescent="0.3">
      <c r="A47">
        <v>45</v>
      </c>
      <c r="B47" s="20">
        <v>46356</v>
      </c>
      <c r="C47">
        <v>-8.5971184294768763E-18</v>
      </c>
      <c r="D47">
        <v>-7.5856884369389737E-12</v>
      </c>
      <c r="E47">
        <v>0</v>
      </c>
      <c r="F47">
        <v>21.472411605083614</v>
      </c>
      <c r="G47">
        <v>0</v>
      </c>
      <c r="H47">
        <v>0</v>
      </c>
      <c r="I47">
        <v>-0.51569206849783533</v>
      </c>
      <c r="J47">
        <v>0</v>
      </c>
      <c r="K47">
        <v>50.115812861998542</v>
      </c>
      <c r="L47">
        <v>-1.2036061749643332</v>
      </c>
      <c r="M47">
        <v>-7.9880648892383315</v>
      </c>
      <c r="N47">
        <v>0</v>
      </c>
      <c r="O47">
        <v>0</v>
      </c>
    </row>
    <row r="48" spans="1:15" x14ac:dyDescent="0.3">
      <c r="A48">
        <v>46</v>
      </c>
      <c r="B48" s="20">
        <v>46387</v>
      </c>
      <c r="C48">
        <v>-8.5339043591690512E-18</v>
      </c>
      <c r="D48">
        <v>-7.5856885001530435E-12</v>
      </c>
      <c r="E48">
        <v>0</v>
      </c>
      <c r="F48">
        <v>14.557428772870237</v>
      </c>
      <c r="G48">
        <v>0</v>
      </c>
      <c r="H48">
        <v>-15.395753566060788</v>
      </c>
      <c r="I48">
        <v>-0.35106921356922449</v>
      </c>
      <c r="J48">
        <v>0</v>
      </c>
      <c r="K48">
        <v>33.976499219133558</v>
      </c>
      <c r="L48">
        <v>-0.81938253291860463</v>
      </c>
      <c r="M48">
        <v>1.4872359968028719</v>
      </c>
      <c r="N48">
        <v>0</v>
      </c>
      <c r="O48">
        <v>0</v>
      </c>
    </row>
    <row r="49" spans="1:15" x14ac:dyDescent="0.3">
      <c r="A49">
        <v>47</v>
      </c>
      <c r="B49" s="20">
        <v>46418</v>
      </c>
      <c r="C49">
        <v>-8.4706902883344427E-18</v>
      </c>
      <c r="D49">
        <v>-7.5856885633671148E-12</v>
      </c>
      <c r="E49">
        <v>0</v>
      </c>
      <c r="F49">
        <v>15.03962058752742</v>
      </c>
      <c r="G49">
        <v>0</v>
      </c>
      <c r="H49">
        <v>0</v>
      </c>
      <c r="I49">
        <v>-0.36420289784106846</v>
      </c>
      <c r="J49">
        <v>0</v>
      </c>
      <c r="K49">
        <v>35.101917043241663</v>
      </c>
      <c r="L49">
        <v>-0.85003606524007314</v>
      </c>
      <c r="M49">
        <v>-2.7526580002553196</v>
      </c>
      <c r="N49">
        <v>0</v>
      </c>
      <c r="O49">
        <v>0</v>
      </c>
    </row>
    <row r="50" spans="1:15" x14ac:dyDescent="0.3">
      <c r="A50">
        <v>48</v>
      </c>
      <c r="B50" s="20">
        <v>46446</v>
      </c>
      <c r="C50">
        <v>-8.4074762169730492E-18</v>
      </c>
      <c r="D50">
        <v>-7.5856886265811862E-12</v>
      </c>
      <c r="E50">
        <v>0</v>
      </c>
      <c r="F50">
        <v>20.831594056240977</v>
      </c>
      <c r="G50">
        <v>0</v>
      </c>
      <c r="H50">
        <v>0</v>
      </c>
      <c r="I50">
        <v>-0.50635304028530093</v>
      </c>
      <c r="J50">
        <v>0</v>
      </c>
      <c r="K50">
        <v>48.6201684533901</v>
      </c>
      <c r="L50">
        <v>-1.1818092292453208</v>
      </c>
      <c r="M50">
        <v>-7.4617333933584478</v>
      </c>
      <c r="N50">
        <v>0</v>
      </c>
      <c r="O50">
        <v>0</v>
      </c>
    </row>
    <row r="51" spans="1:15" x14ac:dyDescent="0.3">
      <c r="A51">
        <v>49</v>
      </c>
      <c r="B51" s="20">
        <v>46477</v>
      </c>
      <c r="C51">
        <v>-8.3442621450848737E-18</v>
      </c>
      <c r="D51">
        <v>-7.5856886897952576E-12</v>
      </c>
      <c r="E51">
        <v>0</v>
      </c>
      <c r="F51">
        <v>36.546490188191378</v>
      </c>
      <c r="G51">
        <v>0</v>
      </c>
      <c r="H51">
        <v>0</v>
      </c>
      <c r="I51">
        <v>-0.89202091498007874</v>
      </c>
      <c r="J51">
        <v>0</v>
      </c>
      <c r="K51">
        <v>85.29815358982043</v>
      </c>
      <c r="L51">
        <v>-2.0819437549132367</v>
      </c>
      <c r="M51">
        <v>-20.238503110362956</v>
      </c>
      <c r="N51">
        <v>0</v>
      </c>
      <c r="O51">
        <v>0</v>
      </c>
    </row>
    <row r="52" spans="1:15" x14ac:dyDescent="0.3">
      <c r="A52">
        <v>50</v>
      </c>
      <c r="B52" s="20">
        <v>46507</v>
      </c>
      <c r="C52">
        <v>-8.2810480726699118E-18</v>
      </c>
      <c r="D52">
        <v>-7.5856887530093306E-12</v>
      </c>
      <c r="E52">
        <v>0</v>
      </c>
      <c r="F52">
        <v>50.773683705932733</v>
      </c>
      <c r="G52">
        <v>0</v>
      </c>
      <c r="H52">
        <v>0</v>
      </c>
      <c r="I52">
        <v>-1.2442523379406023</v>
      </c>
      <c r="J52">
        <v>0</v>
      </c>
      <c r="K52">
        <v>118.50389596287363</v>
      </c>
      <c r="L52">
        <v>-2.9040388414765839</v>
      </c>
      <c r="M52">
        <v>-31.803155455680628</v>
      </c>
      <c r="N52">
        <v>0</v>
      </c>
      <c r="O52">
        <v>0</v>
      </c>
    </row>
    <row r="53" spans="1:15" x14ac:dyDescent="0.3">
      <c r="A53">
        <v>51</v>
      </c>
      <c r="B53" s="20">
        <v>46538</v>
      </c>
      <c r="C53">
        <v>-8.217833999728168E-18</v>
      </c>
      <c r="D53">
        <v>-7.5856888162234036E-12</v>
      </c>
      <c r="E53">
        <v>0</v>
      </c>
      <c r="F53">
        <v>66.18120158524863</v>
      </c>
      <c r="G53">
        <v>0</v>
      </c>
      <c r="H53">
        <v>0</v>
      </c>
      <c r="I53">
        <v>-1.6285567029077297</v>
      </c>
      <c r="J53">
        <v>0</v>
      </c>
      <c r="K53">
        <v>154.46447164990462</v>
      </c>
      <c r="L53">
        <v>-3.8009909859754343</v>
      </c>
      <c r="M53">
        <v>-44.324864719900859</v>
      </c>
      <c r="N53">
        <v>0</v>
      </c>
      <c r="O53">
        <v>0</v>
      </c>
    </row>
    <row r="54" spans="1:15" x14ac:dyDescent="0.3">
      <c r="A54">
        <v>52</v>
      </c>
      <c r="B54" s="20">
        <v>46568</v>
      </c>
      <c r="C54">
        <v>-8.1546199262596391E-18</v>
      </c>
      <c r="D54">
        <v>-7.5856888794374766E-12</v>
      </c>
      <c r="E54">
        <v>0</v>
      </c>
      <c r="F54">
        <v>71.646399323928179</v>
      </c>
      <c r="G54">
        <v>0</v>
      </c>
      <c r="H54">
        <v>0</v>
      </c>
      <c r="I54">
        <v>-1.7701213311079003</v>
      </c>
      <c r="J54">
        <v>0</v>
      </c>
      <c r="K54">
        <v>167.22004061732503</v>
      </c>
      <c r="L54">
        <v>-4.1313975814357464</v>
      </c>
      <c r="M54">
        <v>-48.762063590510721</v>
      </c>
      <c r="N54">
        <v>0</v>
      </c>
      <c r="O54">
        <v>0</v>
      </c>
    </row>
    <row r="55" spans="1:15" x14ac:dyDescent="0.3">
      <c r="A55">
        <v>53</v>
      </c>
      <c r="B55" s="20">
        <v>46599</v>
      </c>
      <c r="C55">
        <v>-8.0914058522643269E-18</v>
      </c>
      <c r="D55">
        <v>-7.5856889426515512E-12</v>
      </c>
      <c r="E55">
        <v>0</v>
      </c>
      <c r="F55">
        <v>73.844114754329269</v>
      </c>
      <c r="G55">
        <v>0</v>
      </c>
      <c r="H55">
        <v>0</v>
      </c>
      <c r="I55">
        <v>-1.8319895798341612</v>
      </c>
      <c r="J55">
        <v>0</v>
      </c>
      <c r="K55">
        <v>172.34942697874479</v>
      </c>
      <c r="L55">
        <v>-4.2757957809621931</v>
      </c>
      <c r="M55">
        <v>-50.542272426402761</v>
      </c>
      <c r="N55">
        <v>0</v>
      </c>
      <c r="O55">
        <v>0</v>
      </c>
    </row>
    <row r="56" spans="1:15" x14ac:dyDescent="0.3">
      <c r="A56">
        <v>54</v>
      </c>
      <c r="B56" s="20">
        <v>46630</v>
      </c>
      <c r="C56">
        <v>-8.0281917777422296E-18</v>
      </c>
      <c r="D56">
        <v>-7.5856890058656258E-12</v>
      </c>
      <c r="E56">
        <v>0</v>
      </c>
      <c r="F56">
        <v>65.534787804359553</v>
      </c>
      <c r="G56">
        <v>0</v>
      </c>
      <c r="H56">
        <v>0</v>
      </c>
      <c r="I56">
        <v>-1.6325912043766979</v>
      </c>
      <c r="J56">
        <v>0</v>
      </c>
      <c r="K56">
        <v>152.95576584311092</v>
      </c>
      <c r="L56">
        <v>-3.810407362874729</v>
      </c>
      <c r="M56">
        <v>-43.782722103388096</v>
      </c>
      <c r="N56">
        <v>0</v>
      </c>
      <c r="O56">
        <v>0</v>
      </c>
    </row>
    <row r="57" spans="1:15" x14ac:dyDescent="0.3">
      <c r="A57">
        <v>55</v>
      </c>
      <c r="B57" s="20">
        <v>46660</v>
      </c>
      <c r="C57">
        <v>-7.9649777026933505E-18</v>
      </c>
      <c r="D57">
        <v>-7.5856890690797004E-12</v>
      </c>
      <c r="E57">
        <v>0</v>
      </c>
      <c r="F57">
        <v>49.925753665077728</v>
      </c>
      <c r="G57">
        <v>0</v>
      </c>
      <c r="H57">
        <v>0</v>
      </c>
      <c r="I57">
        <v>-1.2487359484962408</v>
      </c>
      <c r="J57">
        <v>0</v>
      </c>
      <c r="K57">
        <v>116.52485867404413</v>
      </c>
      <c r="L57">
        <v>-2.9145034223389996</v>
      </c>
      <c r="M57">
        <v>-31.092676575404987</v>
      </c>
      <c r="N57">
        <v>0</v>
      </c>
      <c r="O57">
        <v>0</v>
      </c>
    </row>
    <row r="58" spans="1:15" x14ac:dyDescent="0.3">
      <c r="A58">
        <v>56</v>
      </c>
      <c r="B58" s="20">
        <v>46691</v>
      </c>
      <c r="C58">
        <v>-7.9017636271176848E-18</v>
      </c>
      <c r="D58">
        <v>-7.5856891322937766E-12</v>
      </c>
      <c r="E58">
        <v>0</v>
      </c>
      <c r="F58">
        <v>35.677489225476513</v>
      </c>
      <c r="G58">
        <v>0</v>
      </c>
      <c r="H58">
        <v>0</v>
      </c>
      <c r="I58">
        <v>-0.89606334606408478</v>
      </c>
      <c r="J58">
        <v>0</v>
      </c>
      <c r="K58">
        <v>83.269937550313998</v>
      </c>
      <c r="L58">
        <v>-2.0913786392401374</v>
      </c>
      <c r="M58">
        <v>-19.510829530954908</v>
      </c>
      <c r="N58">
        <v>0</v>
      </c>
      <c r="O58">
        <v>0</v>
      </c>
    </row>
    <row r="59" spans="1:15" x14ac:dyDescent="0.3">
      <c r="A59">
        <v>57</v>
      </c>
      <c r="B59" s="20">
        <v>46721</v>
      </c>
      <c r="C59">
        <v>-7.8385495510152373E-18</v>
      </c>
      <c r="D59">
        <v>-7.5856891955078512E-12</v>
      </c>
      <c r="E59">
        <v>0</v>
      </c>
      <c r="F59">
        <v>21.365049547058184</v>
      </c>
      <c r="G59">
        <v>0</v>
      </c>
      <c r="H59">
        <v>0</v>
      </c>
      <c r="I59">
        <v>-0.53875183602829624</v>
      </c>
      <c r="J59">
        <v>0</v>
      </c>
      <c r="K59">
        <v>49.865233797688518</v>
      </c>
      <c r="L59">
        <v>-1.2574268177245607</v>
      </c>
      <c r="M59">
        <v>-7.8793595060817951</v>
      </c>
      <c r="N59">
        <v>0</v>
      </c>
      <c r="O59">
        <v>0</v>
      </c>
    </row>
    <row r="60" spans="1:15" x14ac:dyDescent="0.3">
      <c r="A60">
        <v>58</v>
      </c>
      <c r="B60" s="20">
        <v>46752</v>
      </c>
      <c r="C60">
        <v>-7.7753354743860047E-18</v>
      </c>
      <c r="D60">
        <v>-7.585689258721929E-12</v>
      </c>
      <c r="E60">
        <v>0</v>
      </c>
      <c r="F60">
        <v>14.484641629005877</v>
      </c>
      <c r="G60">
        <v>0</v>
      </c>
      <c r="H60">
        <v>-16.165017588547894</v>
      </c>
      <c r="I60">
        <v>-0.36676767966273965</v>
      </c>
      <c r="J60">
        <v>0</v>
      </c>
      <c r="K60">
        <v>33.80661672303787</v>
      </c>
      <c r="L60">
        <v>-0.85602217095426769</v>
      </c>
      <c r="M60">
        <v>1.7533039384469526</v>
      </c>
      <c r="N60">
        <v>0</v>
      </c>
      <c r="O60">
        <v>0</v>
      </c>
    </row>
    <row r="61" spans="1:15" x14ac:dyDescent="0.3">
      <c r="A61">
        <v>59</v>
      </c>
      <c r="B61" s="20">
        <v>46783</v>
      </c>
      <c r="C61">
        <v>-7.7121213972299887E-18</v>
      </c>
      <c r="D61">
        <v>-7.5856893219360053E-12</v>
      </c>
      <c r="E61">
        <v>0</v>
      </c>
      <c r="F61">
        <v>14.38675543078701</v>
      </c>
      <c r="G61">
        <v>0</v>
      </c>
      <c r="H61">
        <v>0</v>
      </c>
      <c r="I61">
        <v>-0.36580076401936124</v>
      </c>
      <c r="J61">
        <v>0</v>
      </c>
      <c r="K61">
        <v>33.578153964315987</v>
      </c>
      <c r="L61">
        <v>-0.85376542567906921</v>
      </c>
      <c r="M61">
        <v>-2.207169134684476</v>
      </c>
      <c r="N61">
        <v>0</v>
      </c>
      <c r="O61">
        <v>0</v>
      </c>
    </row>
    <row r="62" spans="1:15" x14ac:dyDescent="0.3">
      <c r="A62">
        <v>60</v>
      </c>
      <c r="B62" s="20">
        <v>46812</v>
      </c>
      <c r="C62">
        <v>-7.6489073195471893E-18</v>
      </c>
      <c r="D62">
        <v>-7.5856893851500831E-12</v>
      </c>
      <c r="E62">
        <v>0</v>
      </c>
      <c r="F62">
        <v>21.304861891796492</v>
      </c>
      <c r="G62">
        <v>0</v>
      </c>
      <c r="H62">
        <v>0</v>
      </c>
      <c r="I62">
        <v>-0.54380461162246518</v>
      </c>
      <c r="J62">
        <v>0</v>
      </c>
      <c r="K62">
        <v>49.72475804102114</v>
      </c>
      <c r="L62">
        <v>-1.2692198086921467</v>
      </c>
      <c r="M62">
        <v>-7.8249822114590897</v>
      </c>
      <c r="N62">
        <v>0</v>
      </c>
      <c r="O62">
        <v>0</v>
      </c>
    </row>
    <row r="63" spans="1:15" x14ac:dyDescent="0.3">
      <c r="A63">
        <v>61</v>
      </c>
      <c r="B63" s="20">
        <v>46843</v>
      </c>
      <c r="C63">
        <v>-7.5856932413376049E-18</v>
      </c>
      <c r="D63">
        <v>-7.5856894483641609E-12</v>
      </c>
      <c r="E63">
        <v>0</v>
      </c>
      <c r="F63">
        <v>36.363757737250403</v>
      </c>
      <c r="G63">
        <v>0</v>
      </c>
      <c r="H63">
        <v>0</v>
      </c>
      <c r="I63">
        <v>-0.93203315772355788</v>
      </c>
      <c r="J63">
        <v>0</v>
      </c>
      <c r="K63">
        <v>84.871662821871283</v>
      </c>
      <c r="L63">
        <v>-2.1753308465171584</v>
      </c>
      <c r="M63">
        <v>-20.052847472053578</v>
      </c>
      <c r="N63">
        <v>0</v>
      </c>
      <c r="O63">
        <v>0</v>
      </c>
    </row>
    <row r="64" spans="1:15" x14ac:dyDescent="0.3">
      <c r="A64">
        <v>62</v>
      </c>
      <c r="B64" s="20">
        <v>46873</v>
      </c>
      <c r="C64">
        <v>-7.5224791626012371E-18</v>
      </c>
      <c r="D64">
        <v>-7.5856895115782404E-12</v>
      </c>
      <c r="E64">
        <v>0</v>
      </c>
      <c r="F64">
        <v>50.519815287403041</v>
      </c>
      <c r="G64">
        <v>0</v>
      </c>
      <c r="H64">
        <v>0</v>
      </c>
      <c r="I64">
        <v>-1.3000641756943532</v>
      </c>
      <c r="J64">
        <v>0</v>
      </c>
      <c r="K64">
        <v>117.91137648305921</v>
      </c>
      <c r="L64">
        <v>-3.0343016022597751</v>
      </c>
      <c r="M64">
        <v>-31.545039831460365</v>
      </c>
      <c r="N64">
        <v>0</v>
      </c>
      <c r="O64">
        <v>0</v>
      </c>
    </row>
    <row r="65" spans="1:15" x14ac:dyDescent="0.3">
      <c r="A65">
        <v>63</v>
      </c>
      <c r="B65" s="20">
        <v>46904</v>
      </c>
      <c r="C65">
        <v>-7.4592650833380858E-18</v>
      </c>
      <c r="D65">
        <v>-7.5856895747923198E-12</v>
      </c>
      <c r="E65">
        <v>0</v>
      </c>
      <c r="F65">
        <v>65.850295577322356</v>
      </c>
      <c r="G65">
        <v>0</v>
      </c>
      <c r="H65">
        <v>0</v>
      </c>
      <c r="I65">
        <v>-1.7016067906623642</v>
      </c>
      <c r="J65">
        <v>0</v>
      </c>
      <c r="K65">
        <v>153.69214929165503</v>
      </c>
      <c r="L65">
        <v>-3.9714871833656278</v>
      </c>
      <c r="M65">
        <v>-43.98817105707068</v>
      </c>
      <c r="N65">
        <v>0</v>
      </c>
      <c r="O65">
        <v>0</v>
      </c>
    </row>
    <row r="66" spans="1:15" x14ac:dyDescent="0.3">
      <c r="A66">
        <v>64</v>
      </c>
      <c r="B66" s="20">
        <v>46934</v>
      </c>
      <c r="C66">
        <v>-7.396051003548148E-18</v>
      </c>
      <c r="D66">
        <v>-7.5856896380063993E-12</v>
      </c>
      <c r="E66">
        <v>0</v>
      </c>
      <c r="F66">
        <v>71.2881673273085</v>
      </c>
      <c r="G66">
        <v>0</v>
      </c>
      <c r="H66">
        <v>0</v>
      </c>
      <c r="I66">
        <v>-1.8495214025594555</v>
      </c>
      <c r="J66">
        <v>0</v>
      </c>
      <c r="K66">
        <v>166.38394041423831</v>
      </c>
      <c r="L66">
        <v>-4.3167144054273914</v>
      </c>
      <c r="M66">
        <v>-48.397301316723322</v>
      </c>
      <c r="N66">
        <v>0</v>
      </c>
      <c r="O66">
        <v>0</v>
      </c>
    </row>
    <row r="67" spans="1:15" x14ac:dyDescent="0.3">
      <c r="A67">
        <v>65</v>
      </c>
      <c r="B67" s="20">
        <v>46965</v>
      </c>
      <c r="C67">
        <v>-7.3328369232314283E-18</v>
      </c>
      <c r="D67">
        <v>-7.5856897012204803E-12</v>
      </c>
      <c r="E67">
        <v>0</v>
      </c>
      <c r="F67">
        <v>73.474894180557584</v>
      </c>
      <c r="G67">
        <v>0</v>
      </c>
      <c r="H67">
        <v>0</v>
      </c>
      <c r="I67">
        <v>-1.9141647962902524</v>
      </c>
      <c r="J67">
        <v>0</v>
      </c>
      <c r="K67">
        <v>171.487679843851</v>
      </c>
      <c r="L67">
        <v>-4.4675896905402261</v>
      </c>
      <c r="M67">
        <v>-50.166038217727859</v>
      </c>
      <c r="N67">
        <v>0</v>
      </c>
      <c r="O67">
        <v>0</v>
      </c>
    </row>
    <row r="68" spans="1:15" x14ac:dyDescent="0.3">
      <c r="A68">
        <v>66</v>
      </c>
      <c r="B68" s="20">
        <v>46996</v>
      </c>
      <c r="C68">
        <v>-7.2696228423879251E-18</v>
      </c>
      <c r="D68">
        <v>-7.5856897644345598E-12</v>
      </c>
      <c r="E68">
        <v>0</v>
      </c>
      <c r="F68">
        <v>65.207113865337718</v>
      </c>
      <c r="G68">
        <v>0</v>
      </c>
      <c r="H68">
        <v>0</v>
      </c>
      <c r="I68">
        <v>-1.7058222626101789</v>
      </c>
      <c r="J68">
        <v>0</v>
      </c>
      <c r="K68">
        <v>152.1909870138953</v>
      </c>
      <c r="L68">
        <v>-3.9813259386553081</v>
      </c>
      <c r="M68">
        <v>-43.44857150282521</v>
      </c>
      <c r="N68">
        <v>0</v>
      </c>
      <c r="O68">
        <v>0</v>
      </c>
    </row>
    <row r="69" spans="1:15" x14ac:dyDescent="0.3">
      <c r="A69">
        <v>67</v>
      </c>
      <c r="B69" s="20">
        <v>47026</v>
      </c>
      <c r="C69">
        <v>-7.206408761017637E-18</v>
      </c>
      <c r="D69">
        <v>-7.5856898276486425E-12</v>
      </c>
      <c r="E69">
        <v>0</v>
      </c>
      <c r="F69">
        <v>49.676124896752327</v>
      </c>
      <c r="G69">
        <v>0</v>
      </c>
      <c r="H69">
        <v>0</v>
      </c>
      <c r="I69">
        <v>-1.304748901841462</v>
      </c>
      <c r="J69">
        <v>0</v>
      </c>
      <c r="K69">
        <v>115.94223438067387</v>
      </c>
      <c r="L69">
        <v>-3.0452355794588062</v>
      </c>
      <c r="M69">
        <v>-30.837927032364817</v>
      </c>
      <c r="N69">
        <v>0</v>
      </c>
      <c r="O69">
        <v>0</v>
      </c>
    </row>
    <row r="70" spans="1:15" x14ac:dyDescent="0.3">
      <c r="A70">
        <v>68</v>
      </c>
      <c r="B70" s="20">
        <v>47057</v>
      </c>
      <c r="C70">
        <v>-7.1431946791205639E-18</v>
      </c>
      <c r="D70">
        <v>-7.5856898908627235E-12</v>
      </c>
      <c r="E70">
        <v>0</v>
      </c>
      <c r="F70">
        <v>35.499101779349118</v>
      </c>
      <c r="G70">
        <v>0</v>
      </c>
      <c r="H70">
        <v>0</v>
      </c>
      <c r="I70">
        <v>-0.93625691497502339</v>
      </c>
      <c r="J70">
        <v>0</v>
      </c>
      <c r="K70">
        <v>82.853587862562406</v>
      </c>
      <c r="L70">
        <v>-2.1851889393984836</v>
      </c>
      <c r="M70">
        <v>-19.328644280217837</v>
      </c>
      <c r="N70">
        <v>0</v>
      </c>
      <c r="O70">
        <v>0</v>
      </c>
    </row>
    <row r="71" spans="1:15" x14ac:dyDescent="0.3">
      <c r="A71">
        <v>69</v>
      </c>
      <c r="B71" s="20">
        <v>47087</v>
      </c>
      <c r="C71">
        <v>-7.0799805966967074E-18</v>
      </c>
      <c r="D71">
        <v>-7.5856899540768062E-12</v>
      </c>
      <c r="E71">
        <v>0</v>
      </c>
      <c r="F71">
        <v>21.258224299322883</v>
      </c>
      <c r="G71">
        <v>0</v>
      </c>
      <c r="H71">
        <v>0</v>
      </c>
      <c r="I71">
        <v>-0.56291793895217279</v>
      </c>
      <c r="J71">
        <v>0</v>
      </c>
      <c r="K71">
        <v>49.61590762870005</v>
      </c>
      <c r="L71">
        <v>-1.3138296062893098</v>
      </c>
      <c r="M71">
        <v>-7.7701794290286958</v>
      </c>
      <c r="N71">
        <v>0</v>
      </c>
      <c r="O71">
        <v>0</v>
      </c>
    </row>
    <row r="72" spans="1:15" x14ac:dyDescent="0.3">
      <c r="A72">
        <v>70</v>
      </c>
      <c r="B72" s="20">
        <v>47118</v>
      </c>
      <c r="C72">
        <v>-7.0167665137460689E-18</v>
      </c>
      <c r="D72">
        <v>-7.5856900172908889E-12</v>
      </c>
      <c r="E72">
        <v>0</v>
      </c>
      <c r="F72">
        <v>14.412218420860841</v>
      </c>
      <c r="G72">
        <v>0</v>
      </c>
      <c r="H72">
        <v>-16.974986064147259</v>
      </c>
      <c r="I72">
        <v>-0.38321930897174067</v>
      </c>
      <c r="J72">
        <v>0</v>
      </c>
      <c r="K72">
        <v>33.637583639422665</v>
      </c>
      <c r="L72">
        <v>-0.89441966402065731</v>
      </c>
      <c r="M72">
        <v>2.0298724108807042</v>
      </c>
      <c r="N72">
        <v>0</v>
      </c>
      <c r="O72">
        <v>0</v>
      </c>
    </row>
    <row r="73" spans="1:15" x14ac:dyDescent="0.3">
      <c r="A73">
        <v>71</v>
      </c>
      <c r="B73" s="20">
        <v>47149</v>
      </c>
      <c r="C73">
        <v>-6.9535524302686439E-18</v>
      </c>
      <c r="D73">
        <v>-7.5856900805049732E-12</v>
      </c>
      <c r="E73">
        <v>0</v>
      </c>
      <c r="F73">
        <v>14.88960037216682</v>
      </c>
      <c r="G73">
        <v>0</v>
      </c>
      <c r="H73">
        <v>0</v>
      </c>
      <c r="I73">
        <v>-0.39755574525374654</v>
      </c>
      <c r="J73">
        <v>0</v>
      </c>
      <c r="K73">
        <v>34.751775420735299</v>
      </c>
      <c r="L73">
        <v>-0.92788037495667886</v>
      </c>
      <c r="M73">
        <v>-2.5998182515062567</v>
      </c>
      <c r="N73">
        <v>0</v>
      </c>
      <c r="O73">
        <v>0</v>
      </c>
    </row>
    <row r="74" spans="1:15" x14ac:dyDescent="0.3">
      <c r="A74">
        <v>72</v>
      </c>
      <c r="B74" s="20">
        <v>47177</v>
      </c>
      <c r="C74">
        <v>-6.8903383462644363E-18</v>
      </c>
      <c r="D74">
        <v>-7.5856901437190559E-12</v>
      </c>
      <c r="E74">
        <v>0</v>
      </c>
      <c r="F74">
        <v>20.623798905529956</v>
      </c>
      <c r="G74">
        <v>0</v>
      </c>
      <c r="H74">
        <v>0</v>
      </c>
      <c r="I74">
        <v>-0.55272366443379695</v>
      </c>
      <c r="J74">
        <v>0</v>
      </c>
      <c r="K74">
        <v>48.135182273067493</v>
      </c>
      <c r="L74">
        <v>-1.2900365473901496</v>
      </c>
      <c r="M74">
        <v>-7.2498885750267101</v>
      </c>
      <c r="N74">
        <v>0</v>
      </c>
      <c r="O74">
        <v>0</v>
      </c>
    </row>
    <row r="75" spans="1:15" x14ac:dyDescent="0.3">
      <c r="A75">
        <v>73</v>
      </c>
      <c r="B75" s="20">
        <v>47208</v>
      </c>
      <c r="C75">
        <v>-6.8271242617334445E-18</v>
      </c>
      <c r="D75">
        <v>-7.5856902069331418E-12</v>
      </c>
      <c r="E75">
        <v>0</v>
      </c>
      <c r="F75">
        <v>36.181938948564138</v>
      </c>
      <c r="G75">
        <v>0</v>
      </c>
      <c r="H75">
        <v>0</v>
      </c>
      <c r="I75">
        <v>-0.97371009879110682</v>
      </c>
      <c r="J75">
        <v>0</v>
      </c>
      <c r="K75">
        <v>84.447304507761899</v>
      </c>
      <c r="L75">
        <v>-2.2726032823113438</v>
      </c>
      <c r="M75">
        <v>-19.866565852139232</v>
      </c>
      <c r="N75">
        <v>0</v>
      </c>
      <c r="O75">
        <v>0</v>
      </c>
    </row>
    <row r="76" spans="1:15" x14ac:dyDescent="0.3">
      <c r="A76">
        <v>74</v>
      </c>
      <c r="B76" s="20">
        <v>47238</v>
      </c>
      <c r="C76">
        <v>-6.7639101766756676E-18</v>
      </c>
      <c r="D76">
        <v>-7.5856902701472261E-12</v>
      </c>
      <c r="E76">
        <v>0</v>
      </c>
      <c r="F76">
        <v>50.267216210966005</v>
      </c>
      <c r="G76">
        <v>0</v>
      </c>
      <c r="H76">
        <v>0</v>
      </c>
      <c r="I76">
        <v>-1.3581980495650887</v>
      </c>
      <c r="J76">
        <v>0</v>
      </c>
      <c r="K76">
        <v>117.32181960064386</v>
      </c>
      <c r="L76">
        <v>-3.1699839092792184</v>
      </c>
      <c r="M76">
        <v>-31.286046796524726</v>
      </c>
      <c r="N76">
        <v>0</v>
      </c>
      <c r="O76">
        <v>0</v>
      </c>
    </row>
    <row r="77" spans="1:15" x14ac:dyDescent="0.3">
      <c r="A77">
        <v>75</v>
      </c>
      <c r="B77" s="20">
        <v>47269</v>
      </c>
      <c r="C77">
        <v>-6.7006960910911074E-18</v>
      </c>
      <c r="D77">
        <v>-7.585690333361312E-12</v>
      </c>
      <c r="E77">
        <v>0</v>
      </c>
      <c r="F77">
        <v>65.521044099435713</v>
      </c>
      <c r="G77">
        <v>0</v>
      </c>
      <c r="H77">
        <v>0</v>
      </c>
      <c r="I77">
        <v>-1.7776961071710051</v>
      </c>
      <c r="J77">
        <v>0</v>
      </c>
      <c r="K77">
        <v>152.92368854519668</v>
      </c>
      <c r="L77">
        <v>-4.1490768280258328</v>
      </c>
      <c r="M77">
        <v>-43.650323260692218</v>
      </c>
      <c r="N77">
        <v>0</v>
      </c>
      <c r="O77">
        <v>0</v>
      </c>
    </row>
    <row r="78" spans="1:15" x14ac:dyDescent="0.3">
      <c r="A78">
        <v>76</v>
      </c>
      <c r="B78" s="20">
        <v>47299</v>
      </c>
      <c r="C78">
        <v>-6.6374820049797629E-18</v>
      </c>
      <c r="D78">
        <v>-7.5856903965753979E-12</v>
      </c>
      <c r="E78">
        <v>0</v>
      </c>
      <c r="F78">
        <v>70.93172649067192</v>
      </c>
      <c r="G78">
        <v>0</v>
      </c>
      <c r="H78">
        <v>0</v>
      </c>
      <c r="I78">
        <v>-1.9322248920854181</v>
      </c>
      <c r="J78">
        <v>0</v>
      </c>
      <c r="K78">
        <v>165.55202071216704</v>
      </c>
      <c r="L78">
        <v>-4.5097412847713088</v>
      </c>
      <c r="M78">
        <v>-48.031278589828894</v>
      </c>
      <c r="N78">
        <v>0</v>
      </c>
      <c r="O78">
        <v>0</v>
      </c>
    </row>
    <row r="79" spans="1:15" x14ac:dyDescent="0.3">
      <c r="A79">
        <v>77</v>
      </c>
      <c r="B79" s="20">
        <v>47330</v>
      </c>
      <c r="C79">
        <v>-6.5742679183416342E-18</v>
      </c>
      <c r="D79">
        <v>-7.5856904597894839E-12</v>
      </c>
      <c r="E79">
        <v>0</v>
      </c>
      <c r="F79">
        <v>73.107519709654753</v>
      </c>
      <c r="G79">
        <v>0</v>
      </c>
      <c r="H79">
        <v>0</v>
      </c>
      <c r="I79">
        <v>-1.9997588899632877</v>
      </c>
      <c r="J79">
        <v>0</v>
      </c>
      <c r="K79">
        <v>170.63024144463162</v>
      </c>
      <c r="L79">
        <v>-4.6673631328299878</v>
      </c>
      <c r="M79">
        <v>-49.78849311620661</v>
      </c>
      <c r="N79">
        <v>0</v>
      </c>
      <c r="O79">
        <v>0</v>
      </c>
    </row>
    <row r="80" spans="1:15" x14ac:dyDescent="0.3">
      <c r="A80">
        <v>78</v>
      </c>
      <c r="B80" s="20">
        <v>47361</v>
      </c>
      <c r="C80">
        <v>-6.5110538311767221E-18</v>
      </c>
      <c r="D80">
        <v>-7.5856905230035714E-12</v>
      </c>
      <c r="E80">
        <v>0</v>
      </c>
      <c r="F80">
        <v>64.881078296010998</v>
      </c>
      <c r="G80">
        <v>0</v>
      </c>
      <c r="H80">
        <v>0</v>
      </c>
      <c r="I80">
        <v>-1.782100078824528</v>
      </c>
      <c r="J80">
        <v>0</v>
      </c>
      <c r="K80">
        <v>151.43003207882577</v>
      </c>
      <c r="L80">
        <v>-4.1593555346423381</v>
      </c>
      <c r="M80">
        <v>-43.113247023675811</v>
      </c>
      <c r="N80">
        <v>0</v>
      </c>
      <c r="O80">
        <v>0</v>
      </c>
    </row>
    <row r="81" spans="1:15" x14ac:dyDescent="0.3">
      <c r="A81">
        <v>79</v>
      </c>
      <c r="B81" s="20">
        <v>47391</v>
      </c>
      <c r="C81">
        <v>-6.4478397434850257E-18</v>
      </c>
      <c r="D81">
        <v>-7.5856905862176589E-12</v>
      </c>
      <c r="E81">
        <v>0</v>
      </c>
      <c r="F81">
        <v>49.427744272268534</v>
      </c>
      <c r="G81">
        <v>0</v>
      </c>
      <c r="H81">
        <v>0</v>
      </c>
      <c r="I81">
        <v>-1.363092258662383</v>
      </c>
      <c r="J81">
        <v>0</v>
      </c>
      <c r="K81">
        <v>115.36252320877043</v>
      </c>
      <c r="L81">
        <v>-3.1814068119199916</v>
      </c>
      <c r="M81">
        <v>-30.58227543594748</v>
      </c>
      <c r="N81">
        <v>0</v>
      </c>
      <c r="O81">
        <v>0</v>
      </c>
    </row>
    <row r="82" spans="1:15" x14ac:dyDescent="0.3">
      <c r="A82">
        <v>80</v>
      </c>
      <c r="B82" s="20">
        <v>47422</v>
      </c>
      <c r="C82">
        <v>-6.3846256552665452E-18</v>
      </c>
      <c r="D82">
        <v>-7.5856906494317481E-12</v>
      </c>
      <c r="E82">
        <v>0</v>
      </c>
      <c r="F82">
        <v>35.321606270452357</v>
      </c>
      <c r="G82">
        <v>0</v>
      </c>
      <c r="H82">
        <v>0</v>
      </c>
      <c r="I82">
        <v>-0.97812272623521945</v>
      </c>
      <c r="J82">
        <v>0</v>
      </c>
      <c r="K82">
        <v>82.439319923249556</v>
      </c>
      <c r="L82">
        <v>-2.2829021912222798</v>
      </c>
      <c r="M82">
        <v>-19.14580865239444</v>
      </c>
      <c r="N82">
        <v>0</v>
      </c>
      <c r="O82">
        <v>0</v>
      </c>
    </row>
    <row r="83" spans="1:15" x14ac:dyDescent="0.3">
      <c r="A83">
        <v>81</v>
      </c>
      <c r="B83" s="20">
        <v>47452</v>
      </c>
      <c r="C83">
        <v>-6.3214115665212812E-18</v>
      </c>
      <c r="D83">
        <v>-7.5856907126458372E-12</v>
      </c>
      <c r="E83">
        <v>0</v>
      </c>
      <c r="F83">
        <v>21.151933177826262</v>
      </c>
      <c r="G83">
        <v>0</v>
      </c>
      <c r="H83">
        <v>0</v>
      </c>
      <c r="I83">
        <v>-0.58808946592324896</v>
      </c>
      <c r="J83">
        <v>0</v>
      </c>
      <c r="K83">
        <v>49.367828090556536</v>
      </c>
      <c r="L83">
        <v>-1.3725790173165526</v>
      </c>
      <c r="M83">
        <v>-7.6606065296190824</v>
      </c>
      <c r="N83">
        <v>0</v>
      </c>
      <c r="O83">
        <v>0</v>
      </c>
    </row>
    <row r="84" spans="1:15" x14ac:dyDescent="0.3">
      <c r="A84">
        <v>82</v>
      </c>
      <c r="B84" s="20">
        <v>47483</v>
      </c>
      <c r="C84">
        <v>-6.2581974772492322E-18</v>
      </c>
      <c r="D84">
        <v>-7.5856907758599263E-12</v>
      </c>
      <c r="E84">
        <v>0</v>
      </c>
      <c r="F84">
        <v>14.340157328756529</v>
      </c>
      <c r="G84">
        <v>0</v>
      </c>
      <c r="H84">
        <v>-17.823157997098612</v>
      </c>
      <c r="I84">
        <v>-0.40035540378082585</v>
      </c>
      <c r="J84">
        <v>0</v>
      </c>
      <c r="K84">
        <v>33.469395721225531</v>
      </c>
      <c r="L84">
        <v>-0.93441467419614499</v>
      </c>
      <c r="M84">
        <v>2.3162604229400463</v>
      </c>
      <c r="N84">
        <v>0</v>
      </c>
      <c r="O84">
        <v>0</v>
      </c>
    </row>
    <row r="85" spans="1:15" x14ac:dyDescent="0.3">
      <c r="A85">
        <v>83</v>
      </c>
      <c r="B85" s="20">
        <v>47514</v>
      </c>
      <c r="C85">
        <v>-6.1949833874503998E-18</v>
      </c>
      <c r="D85">
        <v>-7.5856908390740155E-12</v>
      </c>
      <c r="E85">
        <v>0</v>
      </c>
      <c r="F85">
        <v>14.815152370305977</v>
      </c>
      <c r="G85">
        <v>0</v>
      </c>
      <c r="H85">
        <v>0</v>
      </c>
      <c r="I85">
        <v>-0.41533291039932402</v>
      </c>
      <c r="J85">
        <v>0</v>
      </c>
      <c r="K85">
        <v>34.578016543631598</v>
      </c>
      <c r="L85">
        <v>-0.96937161953778006</v>
      </c>
      <c r="M85">
        <v>-2.5229494293334516</v>
      </c>
      <c r="N85">
        <v>0</v>
      </c>
      <c r="O85">
        <v>0</v>
      </c>
    </row>
    <row r="86" spans="1:15" x14ac:dyDescent="0.3">
      <c r="A86">
        <v>84</v>
      </c>
      <c r="B86" s="20">
        <v>47542</v>
      </c>
      <c r="C86">
        <v>-6.1317692971247825E-18</v>
      </c>
      <c r="D86">
        <v>-7.5856909022881063E-12</v>
      </c>
      <c r="E86">
        <v>0</v>
      </c>
      <c r="F86">
        <v>20.520679911002293</v>
      </c>
      <c r="G86">
        <v>0</v>
      </c>
      <c r="H86">
        <v>0</v>
      </c>
      <c r="I86">
        <v>-0.57743934262437835</v>
      </c>
      <c r="J86">
        <v>0</v>
      </c>
      <c r="K86">
        <v>47.894506361702121</v>
      </c>
      <c r="L86">
        <v>-1.3477220242586772</v>
      </c>
      <c r="M86">
        <v>-7.1433395597886742</v>
      </c>
      <c r="N86">
        <v>0</v>
      </c>
      <c r="O86">
        <v>0</v>
      </c>
    </row>
    <row r="87" spans="1:15" x14ac:dyDescent="0.3">
      <c r="A87">
        <v>85</v>
      </c>
      <c r="B87" s="20">
        <v>47573</v>
      </c>
      <c r="C87">
        <v>-6.0685552062723816E-18</v>
      </c>
      <c r="D87">
        <v>-7.585690965502197E-12</v>
      </c>
      <c r="E87">
        <v>0</v>
      </c>
      <c r="F87">
        <v>36.001029253821294</v>
      </c>
      <c r="G87">
        <v>0</v>
      </c>
      <c r="H87">
        <v>0</v>
      </c>
      <c r="I87">
        <v>-1.017250672501286</v>
      </c>
      <c r="J87">
        <v>0</v>
      </c>
      <c r="K87">
        <v>84.025067985223032</v>
      </c>
      <c r="L87">
        <v>-2.3742253676222829</v>
      </c>
      <c r="M87">
        <v>-19.679488633063521</v>
      </c>
      <c r="N87">
        <v>0</v>
      </c>
      <c r="O87">
        <v>0</v>
      </c>
    </row>
    <row r="88" spans="1:15" x14ac:dyDescent="0.3">
      <c r="A88">
        <v>86</v>
      </c>
      <c r="B88" s="20">
        <v>47603</v>
      </c>
      <c r="C88">
        <v>-6.0053411148931966E-18</v>
      </c>
      <c r="D88">
        <v>-7.5856910287162878E-12</v>
      </c>
      <c r="E88">
        <v>0</v>
      </c>
      <c r="F88">
        <v>50.015880129911146</v>
      </c>
      <c r="G88">
        <v>0</v>
      </c>
      <c r="H88">
        <v>0</v>
      </c>
      <c r="I88">
        <v>-1.4189314468704379</v>
      </c>
      <c r="J88">
        <v>0</v>
      </c>
      <c r="K88">
        <v>116.73521050264057</v>
      </c>
      <c r="L88">
        <v>-3.311733407649847</v>
      </c>
      <c r="M88">
        <v>-31.025939777841188</v>
      </c>
      <c r="N88">
        <v>0</v>
      </c>
      <c r="O88">
        <v>0</v>
      </c>
    </row>
    <row r="89" spans="1:15" x14ac:dyDescent="0.3">
      <c r="A89">
        <v>87</v>
      </c>
      <c r="B89" s="20">
        <v>47634</v>
      </c>
      <c r="C89">
        <v>-5.9421270229872281E-18</v>
      </c>
      <c r="D89">
        <v>-7.5856910919303802E-12</v>
      </c>
      <c r="E89">
        <v>0</v>
      </c>
      <c r="F89">
        <v>65.193438878938494</v>
      </c>
      <c r="G89">
        <v>0</v>
      </c>
      <c r="H89">
        <v>0</v>
      </c>
      <c r="I89">
        <v>-1.8571878455073694</v>
      </c>
      <c r="J89">
        <v>0</v>
      </c>
      <c r="K89">
        <v>152.15907010247059</v>
      </c>
      <c r="L89">
        <v>-4.334607599129205</v>
      </c>
      <c r="M89">
        <v>-43.311011717526462</v>
      </c>
      <c r="N89">
        <v>0</v>
      </c>
      <c r="O89">
        <v>0</v>
      </c>
    </row>
    <row r="90" spans="1:15" x14ac:dyDescent="0.3">
      <c r="A90">
        <v>88</v>
      </c>
      <c r="B90" s="20">
        <v>47664</v>
      </c>
      <c r="C90">
        <v>-5.8789129305544747E-18</v>
      </c>
      <c r="D90">
        <v>-7.5856911551444725E-12</v>
      </c>
      <c r="E90">
        <v>0</v>
      </c>
      <c r="F90">
        <v>70.577067858218527</v>
      </c>
      <c r="G90">
        <v>0</v>
      </c>
      <c r="H90">
        <v>0</v>
      </c>
      <c r="I90">
        <v>-2.018626563838581</v>
      </c>
      <c r="J90">
        <v>0</v>
      </c>
      <c r="K90">
        <v>164.7242606086061</v>
      </c>
      <c r="L90">
        <v>-4.7113995843691123</v>
      </c>
      <c r="M90">
        <v>-47.663658912987572</v>
      </c>
      <c r="N90">
        <v>0</v>
      </c>
      <c r="O90">
        <v>0</v>
      </c>
    </row>
    <row r="91" spans="1:15" x14ac:dyDescent="0.3">
      <c r="A91">
        <v>89</v>
      </c>
      <c r="B91" s="20">
        <v>47695</v>
      </c>
      <c r="C91">
        <v>-5.8156988375949378E-18</v>
      </c>
      <c r="D91">
        <v>-7.5856912183585649E-12</v>
      </c>
      <c r="E91">
        <v>0</v>
      </c>
      <c r="F91">
        <v>72.741982111106452</v>
      </c>
      <c r="G91">
        <v>0</v>
      </c>
      <c r="H91">
        <v>0</v>
      </c>
      <c r="I91">
        <v>-2.089180422572567</v>
      </c>
      <c r="J91">
        <v>0</v>
      </c>
      <c r="K91">
        <v>169.7770902374084</v>
      </c>
      <c r="L91">
        <v>-4.8760696757419533</v>
      </c>
      <c r="M91">
        <v>-49.409288895883421</v>
      </c>
      <c r="N91">
        <v>0</v>
      </c>
      <c r="O91">
        <v>0</v>
      </c>
    </row>
    <row r="92" spans="1:15" x14ac:dyDescent="0.3">
      <c r="A92">
        <v>90</v>
      </c>
      <c r="B92" s="20">
        <v>47726</v>
      </c>
      <c r="C92">
        <v>-5.7524847441086159E-18</v>
      </c>
      <c r="D92">
        <v>-7.5856912815726589E-12</v>
      </c>
      <c r="E92">
        <v>0</v>
      </c>
      <c r="F92">
        <v>64.556672904530913</v>
      </c>
      <c r="G92">
        <v>0</v>
      </c>
      <c r="H92">
        <v>0</v>
      </c>
      <c r="I92">
        <v>-1.861788745849047</v>
      </c>
      <c r="J92">
        <v>0</v>
      </c>
      <c r="K92">
        <v>150.67288191843156</v>
      </c>
      <c r="L92">
        <v>-4.3453459300051671</v>
      </c>
      <c r="M92">
        <v>-42.776438370110398</v>
      </c>
      <c r="N92">
        <v>0</v>
      </c>
      <c r="O92">
        <v>0</v>
      </c>
    </row>
    <row r="93" spans="1:15" x14ac:dyDescent="0.3">
      <c r="A93">
        <v>91</v>
      </c>
      <c r="B93" s="20">
        <v>47756</v>
      </c>
      <c r="C93">
        <v>-5.6892706500955106E-18</v>
      </c>
      <c r="D93">
        <v>-7.5856913447867529E-12</v>
      </c>
      <c r="E93">
        <v>0</v>
      </c>
      <c r="F93">
        <v>49.180605550907167</v>
      </c>
      <c r="G93">
        <v>0</v>
      </c>
      <c r="H93">
        <v>0</v>
      </c>
      <c r="I93">
        <v>-1.4240445061904197</v>
      </c>
      <c r="J93">
        <v>0</v>
      </c>
      <c r="K93">
        <v>114.78571059272652</v>
      </c>
      <c r="L93">
        <v>-3.3236670985992061</v>
      </c>
      <c r="M93">
        <v>-30.325484468044351</v>
      </c>
      <c r="N93">
        <v>0</v>
      </c>
      <c r="O93">
        <v>0</v>
      </c>
    </row>
    <row r="94" spans="1:15" x14ac:dyDescent="0.3">
      <c r="A94">
        <v>92</v>
      </c>
      <c r="B94" s="20">
        <v>47787</v>
      </c>
      <c r="C94">
        <v>-5.626056555555621E-18</v>
      </c>
      <c r="D94">
        <v>-7.5856914080008469E-12</v>
      </c>
      <c r="E94">
        <v>0</v>
      </c>
      <c r="F94">
        <v>35.144998239100069</v>
      </c>
      <c r="G94">
        <v>0</v>
      </c>
      <c r="H94">
        <v>0</v>
      </c>
      <c r="I94">
        <v>-1.0218606156872447</v>
      </c>
      <c r="J94">
        <v>0</v>
      </c>
      <c r="K94">
        <v>82.027123323633248</v>
      </c>
      <c r="L94">
        <v>-2.3849848041616446</v>
      </c>
      <c r="M94">
        <v>-18.96215236905444</v>
      </c>
      <c r="N94">
        <v>0</v>
      </c>
      <c r="O94">
        <v>0</v>
      </c>
    </row>
    <row r="95" spans="1:15" x14ac:dyDescent="0.3">
      <c r="A95">
        <v>93</v>
      </c>
      <c r="B95" s="20">
        <v>47817</v>
      </c>
      <c r="C95">
        <v>-5.5628424604889473E-18</v>
      </c>
      <c r="D95">
        <v>-7.5856914712149425E-12</v>
      </c>
      <c r="E95">
        <v>0</v>
      </c>
      <c r="F95">
        <v>21.046173511937116</v>
      </c>
      <c r="G95">
        <v>0</v>
      </c>
      <c r="H95">
        <v>0</v>
      </c>
      <c r="I95">
        <v>-0.6143865668478482</v>
      </c>
      <c r="J95">
        <v>0</v>
      </c>
      <c r="K95">
        <v>49.120988950103715</v>
      </c>
      <c r="L95">
        <v>-1.4339554762345761</v>
      </c>
      <c r="M95">
        <v>-7.5505384380729357</v>
      </c>
      <c r="N95">
        <v>0</v>
      </c>
      <c r="O95">
        <v>0</v>
      </c>
    </row>
    <row r="96" spans="1:15" x14ac:dyDescent="0.3">
      <c r="A96">
        <v>94</v>
      </c>
      <c r="B96" s="20">
        <v>47848</v>
      </c>
      <c r="C96">
        <v>-5.4996283648954901E-18</v>
      </c>
      <c r="D96">
        <v>-7.5856915344290381E-12</v>
      </c>
      <c r="E96">
        <v>0</v>
      </c>
      <c r="F96">
        <v>14.268456542112739</v>
      </c>
      <c r="G96">
        <v>0</v>
      </c>
      <c r="H96">
        <v>-18.713709677822827</v>
      </c>
      <c r="I96">
        <v>-0.41825775889681954</v>
      </c>
      <c r="J96">
        <v>0</v>
      </c>
      <c r="K96">
        <v>33.302048742619391</v>
      </c>
      <c r="L96">
        <v>-0.97619810752832703</v>
      </c>
      <c r="M96">
        <v>2.613581731545628</v>
      </c>
      <c r="N96">
        <v>0</v>
      </c>
      <c r="O96">
        <v>0</v>
      </c>
    </row>
    <row r="97" spans="1:15" x14ac:dyDescent="0.3">
      <c r="A97">
        <v>95</v>
      </c>
      <c r="B97" s="20">
        <v>47879</v>
      </c>
      <c r="C97">
        <v>-5.436414268775248E-18</v>
      </c>
      <c r="D97">
        <v>-7.5856915976431337E-12</v>
      </c>
      <c r="E97">
        <v>0</v>
      </c>
      <c r="F97">
        <v>14.741076608454438</v>
      </c>
      <c r="G97">
        <v>0</v>
      </c>
      <c r="H97">
        <v>0</v>
      </c>
      <c r="I97">
        <v>-0.43390500205366428</v>
      </c>
      <c r="J97">
        <v>0</v>
      </c>
      <c r="K97">
        <v>34.405126460913422</v>
      </c>
      <c r="L97">
        <v>-1.0127181931282585</v>
      </c>
      <c r="M97">
        <v>-2.4457283018798188</v>
      </c>
      <c r="N97">
        <v>0</v>
      </c>
      <c r="O97">
        <v>0</v>
      </c>
    </row>
    <row r="98" spans="1:15" x14ac:dyDescent="0.3">
      <c r="A98">
        <v>96</v>
      </c>
      <c r="B98" s="20">
        <v>47907</v>
      </c>
      <c r="C98">
        <v>-5.3732001721282216E-18</v>
      </c>
      <c r="D98">
        <v>-7.5856916608572309E-12</v>
      </c>
      <c r="E98">
        <v>0</v>
      </c>
      <c r="F98">
        <v>20.418076511447271</v>
      </c>
      <c r="G98">
        <v>0</v>
      </c>
      <c r="H98">
        <v>0</v>
      </c>
      <c r="I98">
        <v>-0.60326021096281812</v>
      </c>
      <c r="J98">
        <v>0</v>
      </c>
      <c r="K98">
        <v>47.65503382989359</v>
      </c>
      <c r="L98">
        <v>-1.4079869739710413</v>
      </c>
      <c r="M98">
        <v>-7.0362991224350839</v>
      </c>
      <c r="N98">
        <v>0</v>
      </c>
      <c r="O98">
        <v>0</v>
      </c>
    </row>
    <row r="99" spans="1:15" x14ac:dyDescent="0.3">
      <c r="A99">
        <v>97</v>
      </c>
      <c r="B99" s="20">
        <v>47938</v>
      </c>
      <c r="C99">
        <v>-5.3099860749544118E-18</v>
      </c>
      <c r="D99">
        <v>-7.5856917240713282E-12</v>
      </c>
      <c r="E99">
        <v>0</v>
      </c>
      <c r="F99">
        <v>35.821024107552169</v>
      </c>
      <c r="G99">
        <v>0</v>
      </c>
      <c r="H99">
        <v>0</v>
      </c>
      <c r="I99">
        <v>-1.0627382133440497</v>
      </c>
      <c r="J99">
        <v>0</v>
      </c>
      <c r="K99">
        <v>83.604942645296873</v>
      </c>
      <c r="L99">
        <v>-2.4803916020609309</v>
      </c>
      <c r="M99">
        <v>-19.491542567694349</v>
      </c>
      <c r="N99">
        <v>0</v>
      </c>
      <c r="O99">
        <v>0</v>
      </c>
    </row>
    <row r="100" spans="1:15" x14ac:dyDescent="0.3">
      <c r="A100">
        <v>98</v>
      </c>
      <c r="B100" s="20">
        <v>47968</v>
      </c>
      <c r="C100">
        <v>-5.2467719772538178E-18</v>
      </c>
      <c r="D100">
        <v>-7.5856917872854254E-12</v>
      </c>
      <c r="E100">
        <v>0</v>
      </c>
      <c r="F100">
        <v>49.765800729261564</v>
      </c>
      <c r="G100">
        <v>0</v>
      </c>
      <c r="H100">
        <v>0</v>
      </c>
      <c r="I100">
        <v>-1.4823806083085875</v>
      </c>
      <c r="J100">
        <v>0</v>
      </c>
      <c r="K100">
        <v>116.15153445012731</v>
      </c>
      <c r="L100">
        <v>-3.4598213988530442</v>
      </c>
      <c r="M100">
        <v>-30.764616626390147</v>
      </c>
      <c r="N100">
        <v>0</v>
      </c>
      <c r="O100">
        <v>0</v>
      </c>
    </row>
    <row r="101" spans="1:15" x14ac:dyDescent="0.3">
      <c r="A101">
        <v>99</v>
      </c>
      <c r="B101" s="20">
        <v>47999</v>
      </c>
      <c r="C101">
        <v>-5.1835578790264388E-18</v>
      </c>
      <c r="D101">
        <v>-7.5856918504995242E-12</v>
      </c>
      <c r="E101">
        <v>0</v>
      </c>
      <c r="F101">
        <v>64.867471684543773</v>
      </c>
      <c r="G101">
        <v>0</v>
      </c>
      <c r="H101">
        <v>0</v>
      </c>
      <c r="I101">
        <v>-1.9402341489002966</v>
      </c>
      <c r="J101">
        <v>0</v>
      </c>
      <c r="K101">
        <v>151.39827475195818</v>
      </c>
      <c r="L101">
        <v>-4.5284345933330306</v>
      </c>
      <c r="M101">
        <v>-42.970102756900488</v>
      </c>
      <c r="N101">
        <v>0</v>
      </c>
      <c r="O101">
        <v>0</v>
      </c>
    </row>
    <row r="102" spans="1:15" x14ac:dyDescent="0.3">
      <c r="A102">
        <v>100</v>
      </c>
      <c r="B102" s="20">
        <v>48029</v>
      </c>
      <c r="C102">
        <v>-5.1203437802722755E-18</v>
      </c>
      <c r="D102">
        <v>-7.5856919137136231E-12</v>
      </c>
      <c r="E102">
        <v>0</v>
      </c>
      <c r="F102">
        <v>70.224182518927392</v>
      </c>
      <c r="G102">
        <v>0</v>
      </c>
      <c r="H102">
        <v>0</v>
      </c>
      <c r="I102">
        <v>-2.1088917863162577</v>
      </c>
      <c r="J102">
        <v>0</v>
      </c>
      <c r="K102">
        <v>163.90063930556298</v>
      </c>
      <c r="L102">
        <v>-4.9220752681645425</v>
      </c>
      <c r="M102">
        <v>-47.294297025835725</v>
      </c>
      <c r="N102">
        <v>0</v>
      </c>
      <c r="O102">
        <v>0</v>
      </c>
    </row>
    <row r="103" spans="1:15" x14ac:dyDescent="0.3">
      <c r="A103">
        <v>101</v>
      </c>
      <c r="B103" s="20">
        <v>48060</v>
      </c>
      <c r="C103">
        <v>-5.0571296809913297E-18</v>
      </c>
      <c r="D103">
        <v>-7.5856919769277219E-12</v>
      </c>
      <c r="E103">
        <v>0</v>
      </c>
      <c r="F103">
        <v>72.378272200550867</v>
      </c>
      <c r="G103">
        <v>0</v>
      </c>
      <c r="H103">
        <v>0</v>
      </c>
      <c r="I103">
        <v>-2.1826005424787067</v>
      </c>
      <c r="J103">
        <v>0</v>
      </c>
      <c r="K103">
        <v>168.92820478622124</v>
      </c>
      <c r="L103">
        <v>-5.0941087732065862</v>
      </c>
      <c r="M103">
        <v>-49.028275251105036</v>
      </c>
      <c r="N103">
        <v>0</v>
      </c>
      <c r="O103">
        <v>0</v>
      </c>
    </row>
    <row r="104" spans="1:15" x14ac:dyDescent="0.3">
      <c r="A104">
        <v>102</v>
      </c>
      <c r="B104" s="20">
        <v>48091</v>
      </c>
      <c r="C104">
        <v>-4.993915581183598E-18</v>
      </c>
      <c r="D104">
        <v>-7.5856920401418223E-12</v>
      </c>
      <c r="E104">
        <v>0</v>
      </c>
      <c r="F104">
        <v>64.233889540008221</v>
      </c>
      <c r="G104">
        <v>0</v>
      </c>
      <c r="H104">
        <v>0</v>
      </c>
      <c r="I104">
        <v>-1.945040783824278</v>
      </c>
      <c r="J104">
        <v>0</v>
      </c>
      <c r="K104">
        <v>149.91951750883931</v>
      </c>
      <c r="L104">
        <v>-4.539653101099022</v>
      </c>
      <c r="M104">
        <v>-42.438011624314392</v>
      </c>
      <c r="N104">
        <v>0</v>
      </c>
      <c r="O104">
        <v>0</v>
      </c>
    </row>
    <row r="105" spans="1:15" x14ac:dyDescent="0.3">
      <c r="A105">
        <v>103</v>
      </c>
      <c r="B105" s="20">
        <v>48121</v>
      </c>
      <c r="C105">
        <v>-4.930701480849083E-18</v>
      </c>
      <c r="D105">
        <v>-7.5856921033559228E-12</v>
      </c>
      <c r="E105">
        <v>0</v>
      </c>
      <c r="F105">
        <v>48.934702523152602</v>
      </c>
      <c r="G105">
        <v>0</v>
      </c>
      <c r="H105">
        <v>0</v>
      </c>
      <c r="I105">
        <v>-1.4877223039921881</v>
      </c>
      <c r="J105">
        <v>0</v>
      </c>
      <c r="K105">
        <v>114.21178203976281</v>
      </c>
      <c r="L105">
        <v>-3.4722887186012219</v>
      </c>
      <c r="M105">
        <v>-30.067451718413835</v>
      </c>
      <c r="N105">
        <v>0</v>
      </c>
      <c r="O105">
        <v>0</v>
      </c>
    </row>
    <row r="106" spans="1:15" x14ac:dyDescent="0.3">
      <c r="A106">
        <v>104</v>
      </c>
      <c r="B106" s="20">
        <v>48152</v>
      </c>
      <c r="C106">
        <v>-4.8674873799877844E-18</v>
      </c>
      <c r="D106">
        <v>-7.5856921665700233E-12</v>
      </c>
      <c r="E106">
        <v>0</v>
      </c>
      <c r="F106">
        <v>34.969273247904553</v>
      </c>
      <c r="G106">
        <v>0</v>
      </c>
      <c r="H106">
        <v>0</v>
      </c>
      <c r="I106">
        <v>-1.0675542954735577</v>
      </c>
      <c r="J106">
        <v>0</v>
      </c>
      <c r="K106">
        <v>81.616987707015028</v>
      </c>
      <c r="L106">
        <v>-2.4916321592544834</v>
      </c>
      <c r="M106">
        <v>-18.777601958381219</v>
      </c>
      <c r="N106">
        <v>0</v>
      </c>
      <c r="O106">
        <v>0</v>
      </c>
    </row>
    <row r="107" spans="1:15" x14ac:dyDescent="0.3">
      <c r="A107">
        <v>105</v>
      </c>
      <c r="B107" s="20">
        <v>48182</v>
      </c>
      <c r="C107">
        <v>-4.8042732785996994E-18</v>
      </c>
      <c r="D107">
        <v>-7.5856922297841237E-12</v>
      </c>
      <c r="E107">
        <v>0</v>
      </c>
      <c r="F107">
        <v>20.940942644377419</v>
      </c>
      <c r="G107">
        <v>0</v>
      </c>
      <c r="H107">
        <v>0</v>
      </c>
      <c r="I107">
        <v>-0.64185957306766117</v>
      </c>
      <c r="J107">
        <v>0</v>
      </c>
      <c r="K107">
        <v>48.875384005353169</v>
      </c>
      <c r="L107">
        <v>-1.4980764545294736</v>
      </c>
      <c r="M107">
        <v>-7.4399309888666965</v>
      </c>
      <c r="N107">
        <v>0</v>
      </c>
      <c r="O107">
        <v>0</v>
      </c>
    </row>
    <row r="108" spans="1:15" x14ac:dyDescent="0.3">
      <c r="A108">
        <v>106</v>
      </c>
      <c r="B108" s="20">
        <v>48213</v>
      </c>
      <c r="C108">
        <v>-4.7410591766848317E-18</v>
      </c>
      <c r="D108">
        <v>-7.5856922929982258E-12</v>
      </c>
      <c r="E108">
        <v>0</v>
      </c>
      <c r="F108">
        <v>14.197114259402166</v>
      </c>
      <c r="G108">
        <v>0</v>
      </c>
      <c r="H108">
        <v>-19.648758652246052</v>
      </c>
      <c r="I108">
        <v>-0.43696063853595568</v>
      </c>
      <c r="J108">
        <v>0</v>
      </c>
      <c r="K108">
        <v>33.135538498906271</v>
      </c>
      <c r="L108">
        <v>-1.0198499354279711</v>
      </c>
      <c r="M108">
        <v>2.9223957836420507</v>
      </c>
      <c r="N108">
        <v>0</v>
      </c>
      <c r="O108">
        <v>0</v>
      </c>
    </row>
    <row r="109" spans="1:15" x14ac:dyDescent="0.3">
      <c r="A109">
        <v>107</v>
      </c>
      <c r="B109" s="20">
        <v>48244</v>
      </c>
      <c r="C109">
        <v>-4.6778450742431806E-18</v>
      </c>
      <c r="D109">
        <v>-7.5856923562123295E-12</v>
      </c>
      <c r="E109">
        <v>0</v>
      </c>
      <c r="F109">
        <v>14.101171151099864</v>
      </c>
      <c r="G109">
        <v>0</v>
      </c>
      <c r="H109">
        <v>0</v>
      </c>
      <c r="I109">
        <v>-0.43580867204498913</v>
      </c>
      <c r="J109">
        <v>0</v>
      </c>
      <c r="K109">
        <v>32.91161084003361</v>
      </c>
      <c r="L109">
        <v>-1.017161288332975</v>
      </c>
      <c r="M109">
        <v>-1.9107863410222112</v>
      </c>
      <c r="N109">
        <v>0</v>
      </c>
      <c r="O109">
        <v>0</v>
      </c>
    </row>
    <row r="110" spans="1:15" x14ac:dyDescent="0.3">
      <c r="A110">
        <v>108</v>
      </c>
      <c r="B110" s="20">
        <v>48273</v>
      </c>
      <c r="C110">
        <v>-4.6146309712747444E-18</v>
      </c>
      <c r="D110">
        <v>-7.5856924194264315E-12</v>
      </c>
      <c r="E110">
        <v>0</v>
      </c>
      <c r="F110">
        <v>20.881949744128878</v>
      </c>
      <c r="G110">
        <v>0</v>
      </c>
      <c r="H110">
        <v>0</v>
      </c>
      <c r="I110">
        <v>-0.64787936208515906</v>
      </c>
      <c r="J110">
        <v>0</v>
      </c>
      <c r="K110">
        <v>48.737696762605722</v>
      </c>
      <c r="L110">
        <v>-1.5121264189870391</v>
      </c>
      <c r="M110">
        <v>-7.3857435147489348</v>
      </c>
      <c r="N110">
        <v>0</v>
      </c>
      <c r="O110">
        <v>0</v>
      </c>
    </row>
    <row r="111" spans="1:15" x14ac:dyDescent="0.3">
      <c r="A111">
        <v>109</v>
      </c>
      <c r="B111" s="20">
        <v>48304</v>
      </c>
      <c r="C111">
        <v>-4.5514168677795233E-18</v>
      </c>
      <c r="D111">
        <v>-7.5856924826405352E-12</v>
      </c>
      <c r="E111">
        <v>0</v>
      </c>
      <c r="F111">
        <v>35.641918987014385</v>
      </c>
      <c r="G111">
        <v>0</v>
      </c>
      <c r="H111">
        <v>0</v>
      </c>
      <c r="I111">
        <v>-1.1104081038712725</v>
      </c>
      <c r="J111">
        <v>0</v>
      </c>
      <c r="K111">
        <v>83.186917932070344</v>
      </c>
      <c r="L111">
        <v>-2.5916513597794655</v>
      </c>
      <c r="M111">
        <v>-19.302527697191831</v>
      </c>
      <c r="N111">
        <v>0</v>
      </c>
      <c r="O111">
        <v>0</v>
      </c>
    </row>
    <row r="112" spans="1:15" x14ac:dyDescent="0.3">
      <c r="A112">
        <v>110</v>
      </c>
      <c r="B112" s="20">
        <v>48334</v>
      </c>
      <c r="C112">
        <v>-4.4882027637575196E-18</v>
      </c>
      <c r="D112">
        <v>-7.5856925458546389E-12</v>
      </c>
      <c r="E112">
        <v>0</v>
      </c>
      <c r="F112">
        <v>49.516971725615221</v>
      </c>
      <c r="G112">
        <v>0</v>
      </c>
      <c r="H112">
        <v>0</v>
      </c>
      <c r="I112">
        <v>-1.5488738617085867</v>
      </c>
      <c r="J112">
        <v>0</v>
      </c>
      <c r="K112">
        <v>115.57077677787659</v>
      </c>
      <c r="L112">
        <v>-3.6150141878731121</v>
      </c>
      <c r="M112">
        <v>-30.501798446810863</v>
      </c>
      <c r="N112">
        <v>0</v>
      </c>
      <c r="O112">
        <v>0</v>
      </c>
    </row>
    <row r="113" spans="1:15" x14ac:dyDescent="0.3">
      <c r="A113">
        <v>111</v>
      </c>
      <c r="B113" s="20">
        <v>48365</v>
      </c>
      <c r="C113">
        <v>-4.4249886592087308E-18</v>
      </c>
      <c r="D113">
        <v>-7.5856926090687442E-12</v>
      </c>
      <c r="E113">
        <v>0</v>
      </c>
      <c r="F113">
        <v>64.543134326121006</v>
      </c>
      <c r="G113">
        <v>0</v>
      </c>
      <c r="H113">
        <v>0</v>
      </c>
      <c r="I113">
        <v>-2.0272647537227404</v>
      </c>
      <c r="J113">
        <v>0</v>
      </c>
      <c r="K113">
        <v>150.6412833781983</v>
      </c>
      <c r="L113">
        <v>-4.731560799404618</v>
      </c>
      <c r="M113">
        <v>-42.627231371131323</v>
      </c>
      <c r="N113">
        <v>0</v>
      </c>
      <c r="O113">
        <v>0</v>
      </c>
    </row>
    <row r="114" spans="1:15" x14ac:dyDescent="0.3">
      <c r="A114">
        <v>112</v>
      </c>
      <c r="B114" s="20">
        <v>48395</v>
      </c>
      <c r="C114">
        <v>-4.3617745541331571E-18</v>
      </c>
      <c r="D114">
        <v>-7.5856926722828495E-12</v>
      </c>
      <c r="E114">
        <v>0</v>
      </c>
      <c r="F114">
        <v>69.873061606332726</v>
      </c>
      <c r="G114">
        <v>0</v>
      </c>
      <c r="H114">
        <v>0</v>
      </c>
      <c r="I114">
        <v>-2.2034876513422477</v>
      </c>
      <c r="J114">
        <v>0</v>
      </c>
      <c r="K114">
        <v>163.0811361090351</v>
      </c>
      <c r="L114">
        <v>-5.1428585111626886</v>
      </c>
      <c r="M114">
        <v>-46.922796221549056</v>
      </c>
      <c r="N114">
        <v>0</v>
      </c>
      <c r="O114">
        <v>0</v>
      </c>
    </row>
    <row r="115" spans="1:15" x14ac:dyDescent="0.3">
      <c r="A115">
        <v>113</v>
      </c>
      <c r="B115" s="20">
        <v>48426</v>
      </c>
      <c r="C115">
        <v>-4.2985604485307999E-18</v>
      </c>
      <c r="D115">
        <v>-7.5856927354969548E-12</v>
      </c>
      <c r="E115">
        <v>0</v>
      </c>
      <c r="F115">
        <v>72.016380839548091</v>
      </c>
      <c r="G115">
        <v>0</v>
      </c>
      <c r="H115">
        <v>0</v>
      </c>
      <c r="I115">
        <v>-2.2805026670266026</v>
      </c>
      <c r="J115">
        <v>0</v>
      </c>
      <c r="K115">
        <v>168.08356376229005</v>
      </c>
      <c r="L115">
        <v>-5.322608703390153</v>
      </c>
      <c r="M115">
        <v>-48.645041641188676</v>
      </c>
      <c r="N115">
        <v>0</v>
      </c>
      <c r="O115">
        <v>0</v>
      </c>
    </row>
    <row r="116" spans="1:15" x14ac:dyDescent="0.3">
      <c r="A116">
        <v>114</v>
      </c>
      <c r="B116" s="20">
        <v>48457</v>
      </c>
      <c r="C116">
        <v>-4.2353463424016593E-18</v>
      </c>
      <c r="D116">
        <v>-7.5856927987110601E-12</v>
      </c>
      <c r="E116">
        <v>0</v>
      </c>
      <c r="F116">
        <v>63.912720092308142</v>
      </c>
      <c r="G116">
        <v>0</v>
      </c>
      <c r="H116">
        <v>0</v>
      </c>
      <c r="I116">
        <v>-2.0322869937296608</v>
      </c>
      <c r="J116">
        <v>0</v>
      </c>
      <c r="K116">
        <v>149.16991992129502</v>
      </c>
      <c r="L116">
        <v>-4.7432825214432954</v>
      </c>
      <c r="M116">
        <v>-42.097600957940884</v>
      </c>
      <c r="N116">
        <v>0</v>
      </c>
      <c r="O116">
        <v>0</v>
      </c>
    </row>
    <row r="117" spans="1:15" x14ac:dyDescent="0.3">
      <c r="A117">
        <v>115</v>
      </c>
      <c r="B117" s="20">
        <v>48487</v>
      </c>
      <c r="C117">
        <v>-4.1721322357457337E-18</v>
      </c>
      <c r="D117">
        <v>-7.585692861925167E-12</v>
      </c>
      <c r="E117">
        <v>0</v>
      </c>
      <c r="F117">
        <v>48.690029010536811</v>
      </c>
      <c r="G117">
        <v>0</v>
      </c>
      <c r="H117">
        <v>0</v>
      </c>
      <c r="I117">
        <v>-1.5544551630121504</v>
      </c>
      <c r="J117">
        <v>0</v>
      </c>
      <c r="K117">
        <v>113.64072312956394</v>
      </c>
      <c r="L117">
        <v>-3.6280407382578677</v>
      </c>
      <c r="M117">
        <v>-29.807897393041017</v>
      </c>
      <c r="N117">
        <v>0</v>
      </c>
      <c r="O117">
        <v>0</v>
      </c>
    </row>
    <row r="118" spans="1:15" x14ac:dyDescent="0.3">
      <c r="A118">
        <v>116</v>
      </c>
      <c r="B118" s="20">
        <v>48518</v>
      </c>
      <c r="C118">
        <v>-4.1089181285630247E-18</v>
      </c>
      <c r="D118">
        <v>-7.5856929251392739E-12</v>
      </c>
      <c r="E118">
        <v>0</v>
      </c>
      <c r="F118">
        <v>34.794426881665011</v>
      </c>
      <c r="G118">
        <v>0</v>
      </c>
      <c r="H118">
        <v>0</v>
      </c>
      <c r="I118">
        <v>-1.1154402148449503</v>
      </c>
      <c r="J118">
        <v>0</v>
      </c>
      <c r="K118">
        <v>81.208902768479916</v>
      </c>
      <c r="L118">
        <v>-2.6033961202887106</v>
      </c>
      <c r="M118">
        <v>-18.591956662086151</v>
      </c>
      <c r="N118">
        <v>0</v>
      </c>
      <c r="O118">
        <v>0</v>
      </c>
    </row>
    <row r="119" spans="1:15" x14ac:dyDescent="0.3">
      <c r="A119">
        <v>117</v>
      </c>
      <c r="B119" s="20">
        <v>48548</v>
      </c>
      <c r="C119">
        <v>-4.0457040208535307E-18</v>
      </c>
      <c r="D119">
        <v>-7.5856929883533825E-12</v>
      </c>
      <c r="E119">
        <v>0</v>
      </c>
      <c r="F119">
        <v>20.836237931155523</v>
      </c>
      <c r="G119">
        <v>0</v>
      </c>
      <c r="H119">
        <v>0</v>
      </c>
      <c r="I119">
        <v>-0.67065064804529528</v>
      </c>
      <c r="J119">
        <v>0</v>
      </c>
      <c r="K119">
        <v>48.631007085326381</v>
      </c>
      <c r="L119">
        <v>-1.5652737564540171</v>
      </c>
      <c r="M119">
        <v>-7.3286634863289812</v>
      </c>
      <c r="N119">
        <v>0</v>
      </c>
      <c r="O119">
        <v>0</v>
      </c>
    </row>
    <row r="120" spans="1:15" x14ac:dyDescent="0.3">
      <c r="A120">
        <v>118</v>
      </c>
      <c r="B120" s="20">
        <v>48579</v>
      </c>
      <c r="C120">
        <v>-3.9824899126172524E-18</v>
      </c>
      <c r="D120">
        <v>-7.585693051567491E-12</v>
      </c>
      <c r="E120">
        <v>0</v>
      </c>
      <c r="F120">
        <v>14.126128688105149</v>
      </c>
      <c r="G120">
        <v>0</v>
      </c>
      <c r="H120">
        <v>-20.633284342107007</v>
      </c>
      <c r="I120">
        <v>-0.45656082373882934</v>
      </c>
      <c r="J120">
        <v>0</v>
      </c>
      <c r="K120">
        <v>32.969860806411724</v>
      </c>
      <c r="L120">
        <v>-1.0655960412568652</v>
      </c>
      <c r="M120">
        <v>3.2440295948131221</v>
      </c>
      <c r="N120">
        <v>0</v>
      </c>
      <c r="O120">
        <v>0</v>
      </c>
    </row>
    <row r="121" spans="1:15" x14ac:dyDescent="0.3">
      <c r="A121">
        <v>119</v>
      </c>
      <c r="B121" s="20">
        <v>48610</v>
      </c>
      <c r="C121">
        <v>-3.91927580385419E-18</v>
      </c>
      <c r="D121">
        <v>-7.5856931147815995E-12</v>
      </c>
      <c r="E121">
        <v>0</v>
      </c>
      <c r="F121">
        <v>14.59403436928509</v>
      </c>
      <c r="G121">
        <v>0</v>
      </c>
      <c r="H121">
        <v>0</v>
      </c>
      <c r="I121">
        <v>-0.47364100473480958</v>
      </c>
      <c r="J121">
        <v>0</v>
      </c>
      <c r="K121">
        <v>34.061935324465779</v>
      </c>
      <c r="L121">
        <v>-1.1054605506648796</v>
      </c>
      <c r="M121">
        <v>-2.290050367921129</v>
      </c>
      <c r="N121">
        <v>0</v>
      </c>
      <c r="O121">
        <v>0</v>
      </c>
    </row>
    <row r="122" spans="1:15" x14ac:dyDescent="0.3">
      <c r="A122">
        <v>120</v>
      </c>
      <c r="B122" s="20">
        <v>48638</v>
      </c>
      <c r="C122">
        <v>-3.8560616945643434E-18</v>
      </c>
      <c r="D122">
        <v>-7.5856931779957081E-12</v>
      </c>
      <c r="E122">
        <v>0</v>
      </c>
      <c r="F122">
        <v>20.214406198245566</v>
      </c>
      <c r="G122">
        <v>0</v>
      </c>
      <c r="H122">
        <v>0</v>
      </c>
      <c r="I122">
        <v>-0.65850536657704672</v>
      </c>
      <c r="J122">
        <v>0</v>
      </c>
      <c r="K122">
        <v>47.179674867440355</v>
      </c>
      <c r="L122">
        <v>-1.536927119643323</v>
      </c>
      <c r="M122">
        <v>-6.8204954781997218</v>
      </c>
      <c r="N122">
        <v>0</v>
      </c>
      <c r="O122">
        <v>0</v>
      </c>
    </row>
    <row r="123" spans="1:15" x14ac:dyDescent="0.3">
      <c r="A123">
        <v>121</v>
      </c>
      <c r="B123" s="20">
        <v>48669</v>
      </c>
      <c r="C123">
        <v>-3.7928475847477125E-18</v>
      </c>
      <c r="D123">
        <v>-7.5856932412098182E-12</v>
      </c>
      <c r="E123">
        <v>0</v>
      </c>
      <c r="F123">
        <v>35.463709392079302</v>
      </c>
      <c r="G123">
        <v>0</v>
      </c>
      <c r="H123">
        <v>0</v>
      </c>
      <c r="I123">
        <v>-1.160061287046648</v>
      </c>
      <c r="J123">
        <v>0</v>
      </c>
      <c r="K123">
        <v>82.770983342409963</v>
      </c>
      <c r="L123">
        <v>-2.707540049032727</v>
      </c>
      <c r="M123">
        <v>-19.112606182935806</v>
      </c>
      <c r="N123">
        <v>0</v>
      </c>
      <c r="O123">
        <v>0</v>
      </c>
    </row>
    <row r="124" spans="1:15" x14ac:dyDescent="0.3">
      <c r="A124">
        <v>122</v>
      </c>
      <c r="B124" s="20">
        <v>48699</v>
      </c>
      <c r="C124">
        <v>-3.7296334744042974E-18</v>
      </c>
      <c r="D124">
        <v>-7.5856933044239284E-12</v>
      </c>
      <c r="E124">
        <v>0</v>
      </c>
      <c r="F124">
        <v>49.269386866987134</v>
      </c>
      <c r="G124">
        <v>0</v>
      </c>
      <c r="H124">
        <v>0</v>
      </c>
      <c r="I124">
        <v>-1.6181335485776258</v>
      </c>
      <c r="J124">
        <v>0</v>
      </c>
      <c r="K124">
        <v>114.99292289398717</v>
      </c>
      <c r="L124">
        <v>-3.7766637300785906</v>
      </c>
      <c r="M124">
        <v>-30.237711453912855</v>
      </c>
      <c r="N124">
        <v>0</v>
      </c>
      <c r="O124">
        <v>0</v>
      </c>
    </row>
    <row r="125" spans="1:15" x14ac:dyDescent="0.3">
      <c r="A125">
        <v>123</v>
      </c>
      <c r="B125" s="20">
        <v>48730</v>
      </c>
      <c r="C125">
        <v>-3.6664193635340982E-18</v>
      </c>
      <c r="D125">
        <v>-7.5856933676380401E-12</v>
      </c>
      <c r="E125">
        <v>0</v>
      </c>
      <c r="F125">
        <v>64.220418654490388</v>
      </c>
      <c r="G125">
        <v>0</v>
      </c>
      <c r="H125">
        <v>0</v>
      </c>
      <c r="I125">
        <v>-2.1179162428560074</v>
      </c>
      <c r="J125">
        <v>0</v>
      </c>
      <c r="K125">
        <v>149.88807696130726</v>
      </c>
      <c r="L125">
        <v>-4.9431380152581328</v>
      </c>
      <c r="M125">
        <v>-42.282693672754206</v>
      </c>
      <c r="N125">
        <v>0</v>
      </c>
      <c r="O125">
        <v>0</v>
      </c>
    </row>
    <row r="126" spans="1:15" x14ac:dyDescent="0.3">
      <c r="A126">
        <v>124</v>
      </c>
      <c r="B126" s="20">
        <v>48760</v>
      </c>
      <c r="C126">
        <v>-3.6032052521371147E-18</v>
      </c>
      <c r="D126">
        <v>-7.5856934308521503E-12</v>
      </c>
      <c r="E126">
        <v>0</v>
      </c>
      <c r="F126">
        <v>69.523696298301019</v>
      </c>
      <c r="G126">
        <v>0</v>
      </c>
      <c r="H126">
        <v>0</v>
      </c>
      <c r="I126">
        <v>-2.302019151243349</v>
      </c>
      <c r="J126">
        <v>0</v>
      </c>
      <c r="K126">
        <v>162.26573042848983</v>
      </c>
      <c r="L126">
        <v>-5.3728273800943258</v>
      </c>
      <c r="M126">
        <v>-46.549478382196632</v>
      </c>
      <c r="N126">
        <v>0</v>
      </c>
      <c r="O126">
        <v>0</v>
      </c>
    </row>
    <row r="127" spans="1:15" x14ac:dyDescent="0.3">
      <c r="A127">
        <v>125</v>
      </c>
      <c r="B127" s="20">
        <v>48791</v>
      </c>
      <c r="C127">
        <v>-3.539991140213347E-18</v>
      </c>
      <c r="D127">
        <v>-7.585693494066262E-12</v>
      </c>
      <c r="E127">
        <v>0</v>
      </c>
      <c r="F127">
        <v>71.656298935350307</v>
      </c>
      <c r="G127">
        <v>0</v>
      </c>
      <c r="H127">
        <v>0</v>
      </c>
      <c r="I127">
        <v>-2.3824779824651605</v>
      </c>
      <c r="J127">
        <v>0</v>
      </c>
      <c r="K127">
        <v>167.24314594347854</v>
      </c>
      <c r="L127">
        <v>-5.5606153101493172</v>
      </c>
      <c r="M127">
        <v>-48.25992122988692</v>
      </c>
      <c r="N127">
        <v>0</v>
      </c>
      <c r="O127">
        <v>0</v>
      </c>
    </row>
    <row r="128" spans="1:15" x14ac:dyDescent="0.3">
      <c r="A128">
        <v>126</v>
      </c>
      <c r="B128" s="20">
        <v>48822</v>
      </c>
      <c r="C128">
        <v>-3.4767770277627943E-18</v>
      </c>
      <c r="D128">
        <v>-7.5856935572803754E-12</v>
      </c>
      <c r="E128">
        <v>0</v>
      </c>
      <c r="F128">
        <v>63.593156491846578</v>
      </c>
      <c r="G128">
        <v>0</v>
      </c>
      <c r="H128">
        <v>0</v>
      </c>
      <c r="I128">
        <v>-2.1231630581358791</v>
      </c>
      <c r="J128">
        <v>0</v>
      </c>
      <c r="K128">
        <v>148.42407032168848</v>
      </c>
      <c r="L128">
        <v>-4.955383887660525</v>
      </c>
      <c r="M128">
        <v>-41.755503300267996</v>
      </c>
      <c r="N128">
        <v>0</v>
      </c>
      <c r="O128">
        <v>0</v>
      </c>
    </row>
    <row r="129" spans="1:15" x14ac:dyDescent="0.3">
      <c r="A129">
        <v>127</v>
      </c>
      <c r="B129" s="20">
        <v>48852</v>
      </c>
      <c r="C129">
        <v>-3.4135629147854578E-18</v>
      </c>
      <c r="D129">
        <v>-7.5856936204944888E-12</v>
      </c>
      <c r="E129">
        <v>0</v>
      </c>
      <c r="F129">
        <v>48.446578865484113</v>
      </c>
      <c r="G129">
        <v>0</v>
      </c>
      <c r="H129">
        <v>0</v>
      </c>
      <c r="I129">
        <v>-1.6239644242268889</v>
      </c>
      <c r="J129">
        <v>0</v>
      </c>
      <c r="K129">
        <v>113.07251951391608</v>
      </c>
      <c r="L129">
        <v>-3.790272777736325</v>
      </c>
      <c r="M129">
        <v>-29.547048627692579</v>
      </c>
      <c r="N129">
        <v>0</v>
      </c>
      <c r="O129">
        <v>0</v>
      </c>
    </row>
    <row r="130" spans="1:15" x14ac:dyDescent="0.3">
      <c r="A130">
        <v>128</v>
      </c>
      <c r="B130" s="20">
        <v>48883</v>
      </c>
      <c r="C130">
        <v>-3.3503488012813375E-18</v>
      </c>
      <c r="D130">
        <v>-7.5856936837086022E-12</v>
      </c>
      <c r="E130">
        <v>0</v>
      </c>
      <c r="F130">
        <v>34.620454747256673</v>
      </c>
      <c r="G130">
        <v>0</v>
      </c>
      <c r="H130">
        <v>0</v>
      </c>
      <c r="I130">
        <v>-1.1653184146849773</v>
      </c>
      <c r="J130">
        <v>0</v>
      </c>
      <c r="K130">
        <v>80.802858254637485</v>
      </c>
      <c r="L130">
        <v>-2.7198099900975565</v>
      </c>
      <c r="M130">
        <v>-18.405379482611238</v>
      </c>
      <c r="N130">
        <v>0</v>
      </c>
      <c r="O130">
        <v>0</v>
      </c>
    </row>
    <row r="131" spans="1:15" x14ac:dyDescent="0.3">
      <c r="A131">
        <v>129</v>
      </c>
      <c r="B131" s="20">
        <v>48913</v>
      </c>
      <c r="C131">
        <v>-3.2871346872504322E-18</v>
      </c>
      <c r="D131">
        <v>-7.5856937469227156E-12</v>
      </c>
      <c r="E131">
        <v>0</v>
      </c>
      <c r="F131">
        <v>20.732056741499733</v>
      </c>
      <c r="G131">
        <v>0</v>
      </c>
      <c r="H131">
        <v>0</v>
      </c>
      <c r="I131">
        <v>-0.70063956775686964</v>
      </c>
      <c r="J131">
        <v>0</v>
      </c>
      <c r="K131">
        <v>48.387852049899728</v>
      </c>
      <c r="L131">
        <v>-1.6352667835922892</v>
      </c>
      <c r="M131">
        <v>-7.2168339433459092</v>
      </c>
      <c r="N131">
        <v>0</v>
      </c>
      <c r="O131">
        <v>0</v>
      </c>
    </row>
    <row r="132" spans="1:15" x14ac:dyDescent="0.3">
      <c r="A132">
        <v>130</v>
      </c>
      <c r="B132" s="20">
        <v>48944</v>
      </c>
      <c r="C132">
        <v>-3.2239205726927426E-18</v>
      </c>
      <c r="D132">
        <v>-7.5856938101368306E-12</v>
      </c>
      <c r="E132">
        <v>0</v>
      </c>
      <c r="F132">
        <v>14.055498044664615</v>
      </c>
      <c r="G132">
        <v>0</v>
      </c>
      <c r="H132">
        <v>-21.664246759245163</v>
      </c>
      <c r="I132">
        <v>-0.47697646924138809</v>
      </c>
      <c r="J132">
        <v>0</v>
      </c>
      <c r="K132">
        <v>32.805011502379649</v>
      </c>
      <c r="L132">
        <v>-1.1132454012021127</v>
      </c>
      <c r="M132">
        <v>3.5776564373277657</v>
      </c>
      <c r="N132">
        <v>0</v>
      </c>
      <c r="O132">
        <v>0</v>
      </c>
    </row>
    <row r="133" spans="1:15" x14ac:dyDescent="0.3">
      <c r="A133">
        <v>131</v>
      </c>
      <c r="B133" s="20">
        <v>48975</v>
      </c>
      <c r="C133">
        <v>-3.1607064576082693E-18</v>
      </c>
      <c r="D133">
        <v>-7.5856938733509456E-12</v>
      </c>
      <c r="E133">
        <v>0</v>
      </c>
      <c r="F133">
        <v>14.521064197438658</v>
      </c>
      <c r="G133">
        <v>0</v>
      </c>
      <c r="H133">
        <v>0</v>
      </c>
      <c r="I133">
        <v>-0.49482041029342827</v>
      </c>
      <c r="J133">
        <v>0</v>
      </c>
      <c r="K133">
        <v>33.891625647843433</v>
      </c>
      <c r="L133">
        <v>-1.1548924982740065</v>
      </c>
      <c r="M133">
        <v>-2.211577567511998</v>
      </c>
      <c r="N133">
        <v>0</v>
      </c>
      <c r="O133">
        <v>0</v>
      </c>
    </row>
    <row r="134" spans="1:15" x14ac:dyDescent="0.3">
      <c r="A134">
        <v>132</v>
      </c>
      <c r="B134" s="20">
        <v>49003</v>
      </c>
      <c r="C134">
        <v>-3.0974923419970114E-18</v>
      </c>
      <c r="D134">
        <v>-7.5856939365650605E-12</v>
      </c>
      <c r="E134">
        <v>0</v>
      </c>
      <c r="F134">
        <v>20.113334167254326</v>
      </c>
      <c r="G134">
        <v>0</v>
      </c>
      <c r="H134">
        <v>0</v>
      </c>
      <c r="I134">
        <v>-0.6879511959749276</v>
      </c>
      <c r="J134">
        <v>0</v>
      </c>
      <c r="K134">
        <v>46.94377649310313</v>
      </c>
      <c r="L134">
        <v>-1.605652594117795</v>
      </c>
      <c r="M134">
        <v>-6.7117100508995167</v>
      </c>
      <c r="N134">
        <v>0</v>
      </c>
      <c r="O134">
        <v>0</v>
      </c>
    </row>
    <row r="135" spans="1:15" x14ac:dyDescent="0.3">
      <c r="A135">
        <v>133</v>
      </c>
      <c r="B135" s="20">
        <v>49034</v>
      </c>
      <c r="C135">
        <v>-3.0342782258589696E-18</v>
      </c>
      <c r="D135">
        <v>-7.5856939997791772E-12</v>
      </c>
      <c r="E135">
        <v>0</v>
      </c>
      <c r="F135">
        <v>35.286390845118881</v>
      </c>
      <c r="G135">
        <v>0</v>
      </c>
      <c r="H135">
        <v>0</v>
      </c>
      <c r="I135">
        <v>-1.2119347697595106</v>
      </c>
      <c r="J135">
        <v>0</v>
      </c>
      <c r="K135">
        <v>82.357128425697852</v>
      </c>
      <c r="L135">
        <v>-2.8286108351163195</v>
      </c>
      <c r="M135">
        <v>-18.921576749818559</v>
      </c>
      <c r="N135">
        <v>0</v>
      </c>
      <c r="O135">
        <v>0</v>
      </c>
    </row>
    <row r="136" spans="1:15" x14ac:dyDescent="0.3">
      <c r="A136">
        <v>134</v>
      </c>
      <c r="B136" s="20">
        <v>49064</v>
      </c>
      <c r="C136">
        <v>-2.9710641091941432E-18</v>
      </c>
      <c r="D136">
        <v>-7.5856940629932938E-12</v>
      </c>
      <c r="E136">
        <v>0</v>
      </c>
      <c r="F136">
        <v>49.023039932652168</v>
      </c>
      <c r="G136">
        <v>0</v>
      </c>
      <c r="H136">
        <v>0</v>
      </c>
      <c r="I136">
        <v>-1.6904902624827498</v>
      </c>
      <c r="J136">
        <v>0</v>
      </c>
      <c r="K136">
        <v>114.41795827951717</v>
      </c>
      <c r="L136">
        <v>-3.9455416186022934</v>
      </c>
      <c r="M136">
        <v>-29.972074916104408</v>
      </c>
      <c r="N136">
        <v>0</v>
      </c>
      <c r="O136">
        <v>0</v>
      </c>
    </row>
    <row r="137" spans="1:15" x14ac:dyDescent="0.3">
      <c r="A137">
        <v>135</v>
      </c>
      <c r="B137" s="20">
        <v>49095</v>
      </c>
      <c r="C137">
        <v>-2.9078499920025323E-18</v>
      </c>
      <c r="D137">
        <v>-7.5856941262074104E-12</v>
      </c>
      <c r="E137">
        <v>0</v>
      </c>
      <c r="F137">
        <v>63.899316561217887</v>
      </c>
      <c r="G137">
        <v>0</v>
      </c>
      <c r="H137">
        <v>0</v>
      </c>
      <c r="I137">
        <v>-2.2126213182152403</v>
      </c>
      <c r="J137">
        <v>0</v>
      </c>
      <c r="K137">
        <v>149.13863657650063</v>
      </c>
      <c r="L137">
        <v>-5.164176151126445</v>
      </c>
      <c r="M137">
        <v>-41.936122250427545</v>
      </c>
      <c r="N137">
        <v>0</v>
      </c>
      <c r="O137">
        <v>0</v>
      </c>
    </row>
    <row r="138" spans="1:15" x14ac:dyDescent="0.3">
      <c r="A138">
        <v>136</v>
      </c>
      <c r="B138" s="20">
        <v>49125</v>
      </c>
      <c r="C138">
        <v>-2.8446358742841371E-18</v>
      </c>
      <c r="D138">
        <v>-7.5856941894215286E-12</v>
      </c>
      <c r="E138">
        <v>0</v>
      </c>
      <c r="F138">
        <v>69.176077816809482</v>
      </c>
      <c r="G138">
        <v>0</v>
      </c>
      <c r="H138">
        <v>0</v>
      </c>
      <c r="I138">
        <v>-2.4049566011695598</v>
      </c>
      <c r="J138">
        <v>0</v>
      </c>
      <c r="K138">
        <v>161.45440177634728</v>
      </c>
      <c r="L138">
        <v>-5.6130795730884264</v>
      </c>
      <c r="M138">
        <v>-46.17394418805803</v>
      </c>
      <c r="N138">
        <v>0</v>
      </c>
      <c r="O138">
        <v>0</v>
      </c>
    </row>
    <row r="139" spans="1:15" x14ac:dyDescent="0.3">
      <c r="A139">
        <v>137</v>
      </c>
      <c r="B139" s="20">
        <v>49156</v>
      </c>
      <c r="C139">
        <v>-2.7814217560389574E-18</v>
      </c>
      <c r="D139">
        <v>-7.5856942526356468E-12</v>
      </c>
      <c r="E139">
        <v>0</v>
      </c>
      <c r="F139">
        <v>71.298017440673519</v>
      </c>
      <c r="G139">
        <v>0</v>
      </c>
      <c r="H139">
        <v>0</v>
      </c>
      <c r="I139">
        <v>-2.4890132421252935</v>
      </c>
      <c r="J139">
        <v>0</v>
      </c>
      <c r="K139">
        <v>166.40693021376103</v>
      </c>
      <c r="L139">
        <v>-5.8092646577180638</v>
      </c>
      <c r="M139">
        <v>-47.87250077198113</v>
      </c>
      <c r="N139">
        <v>0</v>
      </c>
      <c r="O139">
        <v>0</v>
      </c>
    </row>
    <row r="140" spans="1:15" x14ac:dyDescent="0.3">
      <c r="A140">
        <v>138</v>
      </c>
      <c r="B140" s="20">
        <v>49187</v>
      </c>
      <c r="C140">
        <v>-2.7182076372669934E-18</v>
      </c>
      <c r="D140">
        <v>-7.5856943158497651E-12</v>
      </c>
      <c r="E140">
        <v>0</v>
      </c>
      <c r="F140">
        <v>63.275190709387303</v>
      </c>
      <c r="G140">
        <v>0</v>
      </c>
      <c r="H140">
        <v>0</v>
      </c>
      <c r="I140">
        <v>-2.2181027509112412</v>
      </c>
      <c r="J140">
        <v>0</v>
      </c>
      <c r="K140">
        <v>147.68194997007996</v>
      </c>
      <c r="L140">
        <v>-5.1769696118825426</v>
      </c>
      <c r="M140">
        <v>-41.411350412501697</v>
      </c>
      <c r="N140">
        <v>0</v>
      </c>
      <c r="O140">
        <v>0</v>
      </c>
    </row>
    <row r="141" spans="1:15" x14ac:dyDescent="0.3">
      <c r="A141">
        <v>139</v>
      </c>
      <c r="B141" s="20">
        <v>49217</v>
      </c>
      <c r="C141">
        <v>-2.6549935179682452E-18</v>
      </c>
      <c r="D141">
        <v>-7.5856943790638849E-12</v>
      </c>
      <c r="E141">
        <v>0</v>
      </c>
      <c r="F141">
        <v>48.204345971156663</v>
      </c>
      <c r="G141">
        <v>0</v>
      </c>
      <c r="H141">
        <v>0</v>
      </c>
      <c r="I141">
        <v>-1.696581872483353</v>
      </c>
      <c r="J141">
        <v>0</v>
      </c>
      <c r="K141">
        <v>112.50715691634643</v>
      </c>
      <c r="L141">
        <v>-3.959759210572551</v>
      </c>
      <c r="M141">
        <v>-29.284623784445131</v>
      </c>
      <c r="N141">
        <v>0</v>
      </c>
      <c r="O141">
        <v>0</v>
      </c>
    </row>
    <row r="142" spans="1:15" x14ac:dyDescent="0.3">
      <c r="A142">
        <v>140</v>
      </c>
      <c r="B142" s="20">
        <v>49248</v>
      </c>
      <c r="C142">
        <v>-2.5917793981427132E-18</v>
      </c>
      <c r="D142">
        <v>-7.5856944422780047E-12</v>
      </c>
      <c r="E142">
        <v>0</v>
      </c>
      <c r="F142">
        <v>34.447352473520368</v>
      </c>
      <c r="G142">
        <v>0</v>
      </c>
      <c r="H142">
        <v>0</v>
      </c>
      <c r="I142">
        <v>-1.217426975943009</v>
      </c>
      <c r="J142">
        <v>0</v>
      </c>
      <c r="K142">
        <v>80.398843963364243</v>
      </c>
      <c r="L142">
        <v>-2.8414294407929428</v>
      </c>
      <c r="M142">
        <v>-18.217668338370501</v>
      </c>
      <c r="N142">
        <v>0</v>
      </c>
      <c r="O142">
        <v>0</v>
      </c>
    </row>
    <row r="143" spans="1:15" x14ac:dyDescent="0.3">
      <c r="A143">
        <v>141</v>
      </c>
      <c r="B143" s="20">
        <v>49278</v>
      </c>
      <c r="C143">
        <v>-2.5285652777903966E-18</v>
      </c>
      <c r="D143">
        <v>-7.5856945054921246E-12</v>
      </c>
      <c r="E143">
        <v>0</v>
      </c>
      <c r="F143">
        <v>20.628396457792224</v>
      </c>
      <c r="G143">
        <v>0</v>
      </c>
      <c r="H143">
        <v>0</v>
      </c>
      <c r="I143">
        <v>-0.73196947671238</v>
      </c>
      <c r="J143">
        <v>0</v>
      </c>
      <c r="K143">
        <v>48.145912789650197</v>
      </c>
      <c r="L143">
        <v>-1.7083896299253054</v>
      </c>
      <c r="M143">
        <v>-7.1043208685345176</v>
      </c>
      <c r="N143">
        <v>0</v>
      </c>
      <c r="O143">
        <v>0</v>
      </c>
    </row>
    <row r="144" spans="1:15" x14ac:dyDescent="0.3">
      <c r="A144">
        <v>142</v>
      </c>
      <c r="B144" s="20">
        <v>49309</v>
      </c>
      <c r="C144">
        <v>-2.4653511569112954E-18</v>
      </c>
      <c r="D144">
        <v>-7.585694568706246E-12</v>
      </c>
      <c r="E144">
        <v>0</v>
      </c>
      <c r="F144">
        <v>13.985220554441286</v>
      </c>
      <c r="G144">
        <v>0</v>
      </c>
      <c r="H144">
        <v>-22.746722231112191</v>
      </c>
      <c r="I144">
        <v>-0.4983050239547569</v>
      </c>
      <c r="J144">
        <v>0</v>
      </c>
      <c r="K144">
        <v>32.640986444867735</v>
      </c>
      <c r="L144">
        <v>-1.163025457410565</v>
      </c>
      <c r="M144">
        <v>3.9246280949587904</v>
      </c>
      <c r="N144">
        <v>0</v>
      </c>
      <c r="O144">
        <v>0</v>
      </c>
    </row>
    <row r="145" spans="1:15" x14ac:dyDescent="0.3">
      <c r="A145">
        <v>143</v>
      </c>
      <c r="B145" s="20">
        <v>49340</v>
      </c>
      <c r="C145">
        <v>-2.4021370355054104E-18</v>
      </c>
      <c r="D145">
        <v>-7.5856946319203675E-12</v>
      </c>
      <c r="E145">
        <v>0</v>
      </c>
      <c r="F145">
        <v>14.448458876451458</v>
      </c>
      <c r="G145">
        <v>0</v>
      </c>
      <c r="H145">
        <v>0</v>
      </c>
      <c r="I145">
        <v>-0.51694687747748114</v>
      </c>
      <c r="J145">
        <v>0</v>
      </c>
      <c r="K145">
        <v>33.722167519604199</v>
      </c>
      <c r="L145">
        <v>-1.2065348526162927</v>
      </c>
      <c r="M145">
        <v>-2.1326194998238046</v>
      </c>
      <c r="N145">
        <v>0</v>
      </c>
      <c r="O145">
        <v>0</v>
      </c>
    </row>
    <row r="146" spans="1:15" x14ac:dyDescent="0.3">
      <c r="A146">
        <v>144</v>
      </c>
      <c r="B146" s="20">
        <v>49368</v>
      </c>
      <c r="C146">
        <v>-2.3389229135727404E-18</v>
      </c>
      <c r="D146">
        <v>-7.585694695134489E-12</v>
      </c>
      <c r="E146">
        <v>0</v>
      </c>
      <c r="F146">
        <v>20.012767496418046</v>
      </c>
      <c r="G146">
        <v>0</v>
      </c>
      <c r="H146">
        <v>0</v>
      </c>
      <c r="I146">
        <v>-0.71871372970497849</v>
      </c>
      <c r="J146">
        <v>0</v>
      </c>
      <c r="K146">
        <v>46.709057610637586</v>
      </c>
      <c r="L146">
        <v>-1.6774512077030128</v>
      </c>
      <c r="M146">
        <v>-6.6022483757452441</v>
      </c>
      <c r="N146">
        <v>0</v>
      </c>
      <c r="O146">
        <v>0</v>
      </c>
    </row>
    <row r="147" spans="1:15" x14ac:dyDescent="0.3">
      <c r="A147">
        <v>145</v>
      </c>
      <c r="B147" s="20">
        <v>49399</v>
      </c>
      <c r="C147">
        <v>-2.2757087911132865E-18</v>
      </c>
      <c r="D147">
        <v>-7.585694758348612E-12</v>
      </c>
      <c r="E147">
        <v>0</v>
      </c>
      <c r="F147">
        <v>35.109958890893274</v>
      </c>
      <c r="G147">
        <v>0</v>
      </c>
      <c r="H147">
        <v>0</v>
      </c>
      <c r="I147">
        <v>-1.266127835272703</v>
      </c>
      <c r="J147">
        <v>0</v>
      </c>
      <c r="K147">
        <v>81.94534278356933</v>
      </c>
      <c r="L147">
        <v>-2.9550954414860193</v>
      </c>
      <c r="M147">
        <v>-18.729352932759305</v>
      </c>
      <c r="N147">
        <v>0</v>
      </c>
      <c r="O147">
        <v>0</v>
      </c>
    </row>
    <row r="148" spans="1:15" x14ac:dyDescent="0.3">
      <c r="A148">
        <v>146</v>
      </c>
      <c r="B148" s="20">
        <v>49429</v>
      </c>
      <c r="C148">
        <v>-2.2124946681270477E-18</v>
      </c>
      <c r="D148">
        <v>-7.5856948215627351E-12</v>
      </c>
      <c r="E148">
        <v>0</v>
      </c>
      <c r="F148">
        <v>48.777924732988886</v>
      </c>
      <c r="G148">
        <v>0</v>
      </c>
      <c r="H148">
        <v>0</v>
      </c>
      <c r="I148">
        <v>-1.7660824905713299</v>
      </c>
      <c r="J148">
        <v>0</v>
      </c>
      <c r="K148">
        <v>113.84586848811954</v>
      </c>
      <c r="L148">
        <v>-4.1219710773134839</v>
      </c>
      <c r="M148">
        <v>-29.704768246639233</v>
      </c>
      <c r="N148">
        <v>0</v>
      </c>
      <c r="O148">
        <v>0</v>
      </c>
    </row>
    <row r="149" spans="1:15" x14ac:dyDescent="0.3">
      <c r="A149">
        <v>147</v>
      </c>
      <c r="B149" s="20">
        <v>49460</v>
      </c>
      <c r="C149">
        <v>-2.1492805446140251E-18</v>
      </c>
      <c r="D149">
        <v>-7.5856948847768582E-12</v>
      </c>
      <c r="E149">
        <v>0</v>
      </c>
      <c r="F149">
        <v>63.57981997841177</v>
      </c>
      <c r="G149">
        <v>0</v>
      </c>
      <c r="H149">
        <v>0</v>
      </c>
      <c r="I149">
        <v>-2.3115612405987842</v>
      </c>
      <c r="J149">
        <v>0</v>
      </c>
      <c r="K149">
        <v>148.39294339361805</v>
      </c>
      <c r="L149">
        <v>-5.3950982629948872</v>
      </c>
      <c r="M149">
        <v>-41.587359300442373</v>
      </c>
      <c r="N149">
        <v>0</v>
      </c>
      <c r="O149">
        <v>0</v>
      </c>
    </row>
    <row r="150" spans="1:15" x14ac:dyDescent="0.3">
      <c r="A150">
        <v>148</v>
      </c>
      <c r="B150" s="20">
        <v>49490</v>
      </c>
      <c r="C150">
        <v>-2.0860664205742179E-18</v>
      </c>
      <c r="D150">
        <v>-7.5856949479909829E-12</v>
      </c>
      <c r="E150">
        <v>0</v>
      </c>
      <c r="F150">
        <v>68.830197427725409</v>
      </c>
      <c r="G150">
        <v>0</v>
      </c>
      <c r="H150">
        <v>0</v>
      </c>
      <c r="I150">
        <v>-2.5124970182742112</v>
      </c>
      <c r="J150">
        <v>0</v>
      </c>
      <c r="K150">
        <v>160.64712976746551</v>
      </c>
      <c r="L150">
        <v>-5.8640749208788918</v>
      </c>
      <c r="M150">
        <v>-45.796022147342789</v>
      </c>
      <c r="N150">
        <v>0</v>
      </c>
      <c r="O150">
        <v>0</v>
      </c>
    </row>
    <row r="151" spans="1:15" x14ac:dyDescent="0.3">
      <c r="A151">
        <v>149</v>
      </c>
      <c r="B151" s="20">
        <v>49521</v>
      </c>
      <c r="C151">
        <v>-2.0228522960076264E-18</v>
      </c>
      <c r="D151">
        <v>-7.5856950112051075E-12</v>
      </c>
      <c r="E151">
        <v>0</v>
      </c>
      <c r="F151">
        <v>70.941527353470121</v>
      </c>
      <c r="G151">
        <v>0</v>
      </c>
      <c r="H151">
        <v>0</v>
      </c>
      <c r="I151">
        <v>-2.6003123491890059</v>
      </c>
      <c r="J151">
        <v>0</v>
      </c>
      <c r="K151">
        <v>165.57489556269218</v>
      </c>
      <c r="L151">
        <v>-6.0690326485660044</v>
      </c>
      <c r="M151">
        <v>-47.482602812935156</v>
      </c>
      <c r="N151">
        <v>0</v>
      </c>
      <c r="O151">
        <v>0</v>
      </c>
    </row>
    <row r="152" spans="1:15" x14ac:dyDescent="0.3">
      <c r="A152">
        <v>150</v>
      </c>
      <c r="B152" s="20">
        <v>49552</v>
      </c>
      <c r="C152">
        <v>-1.9596381709142504E-18</v>
      </c>
      <c r="D152">
        <v>-7.5856950744192322E-12</v>
      </c>
      <c r="E152">
        <v>0</v>
      </c>
      <c r="F152">
        <v>62.958814755840351</v>
      </c>
      <c r="G152">
        <v>0</v>
      </c>
      <c r="H152">
        <v>0</v>
      </c>
      <c r="I152">
        <v>-2.3172877819001441</v>
      </c>
      <c r="J152">
        <v>0</v>
      </c>
      <c r="K152">
        <v>146.94354022022952</v>
      </c>
      <c r="L152">
        <v>-5.4084637981515202</v>
      </c>
      <c r="M152">
        <v>-41.064984182337881</v>
      </c>
      <c r="N152">
        <v>0</v>
      </c>
      <c r="O152">
        <v>0</v>
      </c>
    </row>
    <row r="153" spans="1:15" x14ac:dyDescent="0.3">
      <c r="A153">
        <v>151</v>
      </c>
      <c r="B153" s="20">
        <v>49582</v>
      </c>
      <c r="C153">
        <v>-1.8964240452940902E-18</v>
      </c>
      <c r="D153">
        <v>-7.5856951376333569E-12</v>
      </c>
      <c r="E153">
        <v>0</v>
      </c>
      <c r="F153">
        <v>47.96332424130086</v>
      </c>
      <c r="G153">
        <v>0</v>
      </c>
      <c r="H153">
        <v>0</v>
      </c>
      <c r="I153">
        <v>-1.772446493961479</v>
      </c>
      <c r="J153">
        <v>0</v>
      </c>
      <c r="K153">
        <v>111.94462113176466</v>
      </c>
      <c r="L153">
        <v>-4.1368244253593245</v>
      </c>
      <c r="M153">
        <v>-29.020501946769514</v>
      </c>
      <c r="N153">
        <v>0</v>
      </c>
      <c r="O153">
        <v>0</v>
      </c>
    </row>
    <row r="154" spans="1:15" x14ac:dyDescent="0.3">
      <c r="A154">
        <v>152</v>
      </c>
      <c r="B154" s="20">
        <v>49613</v>
      </c>
      <c r="C154">
        <v>-1.8332099191471453E-18</v>
      </c>
      <c r="D154">
        <v>-7.5856952008474832E-12</v>
      </c>
      <c r="E154">
        <v>0</v>
      </c>
      <c r="F154">
        <v>34.27511571115275</v>
      </c>
      <c r="G154">
        <v>0</v>
      </c>
      <c r="H154">
        <v>0</v>
      </c>
      <c r="I154">
        <v>-1.2718656318105184</v>
      </c>
      <c r="J154">
        <v>0</v>
      </c>
      <c r="K154">
        <v>79.996849743547386</v>
      </c>
      <c r="L154">
        <v>-2.9684872459473914</v>
      </c>
      <c r="M154">
        <v>-18.028736477568891</v>
      </c>
      <c r="N154">
        <v>0</v>
      </c>
      <c r="O154">
        <v>0</v>
      </c>
    </row>
    <row r="155" spans="1:15" x14ac:dyDescent="0.3">
      <c r="A155">
        <v>153</v>
      </c>
      <c r="B155" s="20">
        <v>49643</v>
      </c>
      <c r="C155">
        <v>-1.7699957924734163E-18</v>
      </c>
      <c r="D155">
        <v>-7.5856952640616111E-12</v>
      </c>
      <c r="E155">
        <v>0</v>
      </c>
      <c r="F155">
        <v>20.525254475503257</v>
      </c>
      <c r="G155">
        <v>0</v>
      </c>
      <c r="H155">
        <v>0</v>
      </c>
      <c r="I155">
        <v>-0.76470033879747623</v>
      </c>
      <c r="J155">
        <v>0</v>
      </c>
      <c r="K155">
        <v>47.905183225701933</v>
      </c>
      <c r="L155">
        <v>-1.7847822489397536</v>
      </c>
      <c r="M155">
        <v>-6.9910721117003245</v>
      </c>
      <c r="N155">
        <v>0</v>
      </c>
      <c r="O155">
        <v>0</v>
      </c>
    </row>
    <row r="156" spans="1:15" x14ac:dyDescent="0.3">
      <c r="A156">
        <v>154</v>
      </c>
      <c r="B156" s="20">
        <v>49674</v>
      </c>
      <c r="C156">
        <v>-1.7067816652729028E-18</v>
      </c>
      <c r="D156">
        <v>-7.5856953272757374E-12</v>
      </c>
      <c r="E156">
        <v>0</v>
      </c>
      <c r="F156">
        <v>13.915294451669073</v>
      </c>
      <c r="G156">
        <v>0</v>
      </c>
      <c r="H156">
        <v>-23.883284658330837</v>
      </c>
      <c r="I156">
        <v>-0.52058730967058942</v>
      </c>
      <c r="J156">
        <v>0</v>
      </c>
      <c r="K156">
        <v>32.477781512643382</v>
      </c>
      <c r="L156">
        <v>-1.2150314864309786</v>
      </c>
      <c r="M156">
        <v>4.285623539196652</v>
      </c>
      <c r="N156">
        <v>0</v>
      </c>
      <c r="O156">
        <v>0</v>
      </c>
    </row>
    <row r="157" spans="1:15" x14ac:dyDescent="0.3">
      <c r="A157">
        <v>155</v>
      </c>
      <c r="B157" s="20">
        <v>49705</v>
      </c>
      <c r="C157">
        <v>-1.643567537545605E-18</v>
      </c>
      <c r="D157">
        <v>-7.5856953904898654E-12</v>
      </c>
      <c r="E157">
        <v>0</v>
      </c>
      <c r="F157">
        <v>13.821255861978166</v>
      </c>
      <c r="G157">
        <v>0</v>
      </c>
      <c r="H157">
        <v>0</v>
      </c>
      <c r="I157">
        <v>-0.51921487681628886</v>
      </c>
      <c r="J157">
        <v>0</v>
      </c>
      <c r="K157">
        <v>32.258298929623223</v>
      </c>
      <c r="L157">
        <v>-1.2118282790150263</v>
      </c>
      <c r="M157">
        <v>-1.6079612422758522</v>
      </c>
      <c r="N157">
        <v>0</v>
      </c>
      <c r="O157">
        <v>0</v>
      </c>
    </row>
    <row r="158" spans="1:15" x14ac:dyDescent="0.3">
      <c r="A158">
        <v>156</v>
      </c>
      <c r="B158" s="20">
        <v>49734</v>
      </c>
      <c r="C158">
        <v>-1.5803534092915225E-18</v>
      </c>
      <c r="D158">
        <v>-7.5856954537039933E-12</v>
      </c>
      <c r="E158">
        <v>0</v>
      </c>
      <c r="F158">
        <v>20.467432613784233</v>
      </c>
      <c r="G158">
        <v>0</v>
      </c>
      <c r="H158">
        <v>0</v>
      </c>
      <c r="I158">
        <v>-0.77187221079927426</v>
      </c>
      <c r="J158">
        <v>0</v>
      </c>
      <c r="K158">
        <v>47.770229143480599</v>
      </c>
      <c r="L158">
        <v>-1.8015211323834384</v>
      </c>
      <c r="M158">
        <v>-6.9369004368538638</v>
      </c>
      <c r="N158">
        <v>0</v>
      </c>
      <c r="O158">
        <v>0</v>
      </c>
    </row>
    <row r="159" spans="1:15" x14ac:dyDescent="0.3">
      <c r="A159">
        <v>157</v>
      </c>
      <c r="B159" s="20">
        <v>49765</v>
      </c>
      <c r="C159">
        <v>-1.517139280510656E-18</v>
      </c>
      <c r="D159">
        <v>-7.5856955169181228E-12</v>
      </c>
      <c r="E159">
        <v>0</v>
      </c>
      <c r="F159">
        <v>34.934409096438799</v>
      </c>
      <c r="G159">
        <v>0</v>
      </c>
      <c r="H159">
        <v>0</v>
      </c>
      <c r="I159">
        <v>-1.3229209142672005</v>
      </c>
      <c r="J159">
        <v>0</v>
      </c>
      <c r="K159">
        <v>81.535616069651468</v>
      </c>
      <c r="L159">
        <v>-3.0876483829577213</v>
      </c>
      <c r="M159">
        <v>-18.535697300549671</v>
      </c>
      <c r="N159">
        <v>0</v>
      </c>
      <c r="O159">
        <v>0</v>
      </c>
    </row>
    <row r="160" spans="1:15" x14ac:dyDescent="0.3">
      <c r="A160">
        <v>158</v>
      </c>
      <c r="B160" s="20">
        <v>49795</v>
      </c>
      <c r="C160">
        <v>-1.453925151203005E-18</v>
      </c>
      <c r="D160">
        <v>-7.5856955801322524E-12</v>
      </c>
      <c r="E160">
        <v>0</v>
      </c>
      <c r="F160">
        <v>48.534035109323924</v>
      </c>
      <c r="G160">
        <v>0</v>
      </c>
      <c r="H160">
        <v>0</v>
      </c>
      <c r="I160">
        <v>-1.8453013969120255</v>
      </c>
      <c r="J160">
        <v>0</v>
      </c>
      <c r="K160">
        <v>113.2766391456789</v>
      </c>
      <c r="L160">
        <v>-4.3068650686508407</v>
      </c>
      <c r="M160">
        <v>-29.435460280693324</v>
      </c>
      <c r="N160">
        <v>0</v>
      </c>
      <c r="O160">
        <v>0</v>
      </c>
    </row>
    <row r="161" spans="1:15" x14ac:dyDescent="0.3">
      <c r="A161">
        <v>159</v>
      </c>
      <c r="B161" s="20">
        <v>49826</v>
      </c>
      <c r="C161">
        <v>-1.3907110213685699E-18</v>
      </c>
      <c r="D161">
        <v>-7.5856956433463819E-12</v>
      </c>
      <c r="E161">
        <v>0</v>
      </c>
      <c r="F161">
        <v>63.261920878519689</v>
      </c>
      <c r="G161">
        <v>0</v>
      </c>
      <c r="H161">
        <v>0</v>
      </c>
      <c r="I161">
        <v>-2.4152479904518667</v>
      </c>
      <c r="J161">
        <v>0</v>
      </c>
      <c r="K161">
        <v>147.65097867664991</v>
      </c>
      <c r="L161">
        <v>-5.637099294247272</v>
      </c>
      <c r="M161">
        <v>-41.235971400950952</v>
      </c>
      <c r="N161">
        <v>0</v>
      </c>
      <c r="O161">
        <v>0</v>
      </c>
    </row>
    <row r="162" spans="1:15" x14ac:dyDescent="0.3">
      <c r="A162">
        <v>160</v>
      </c>
      <c r="B162" s="20">
        <v>49856</v>
      </c>
      <c r="C162">
        <v>-1.3274968910073498E-18</v>
      </c>
      <c r="D162">
        <v>-7.5856957065605114E-12</v>
      </c>
      <c r="E162">
        <v>0</v>
      </c>
      <c r="F162">
        <v>68.486046440586762</v>
      </c>
      <c r="G162">
        <v>0</v>
      </c>
      <c r="H162">
        <v>0</v>
      </c>
      <c r="I162">
        <v>-2.6251968876373648</v>
      </c>
      <c r="J162">
        <v>0</v>
      </c>
      <c r="K162">
        <v>159.84389411862813</v>
      </c>
      <c r="L162">
        <v>-6.1271122390177775</v>
      </c>
      <c r="M162">
        <v>-45.415241191473271</v>
      </c>
      <c r="N162">
        <v>0</v>
      </c>
      <c r="O162">
        <v>0</v>
      </c>
    </row>
    <row r="163" spans="1:15" x14ac:dyDescent="0.3">
      <c r="A163">
        <v>161</v>
      </c>
      <c r="B163" s="20">
        <v>49887</v>
      </c>
      <c r="C163">
        <v>-1.2642827601193456E-18</v>
      </c>
      <c r="D163">
        <v>-7.5856957697746426E-12</v>
      </c>
      <c r="E163">
        <v>0</v>
      </c>
      <c r="F163">
        <v>70.586819716702749</v>
      </c>
      <c r="G163">
        <v>0</v>
      </c>
      <c r="H163">
        <v>0</v>
      </c>
      <c r="I163">
        <v>-2.7169512386784311</v>
      </c>
      <c r="J163">
        <v>0</v>
      </c>
      <c r="K163">
        <v>164.74702108487867</v>
      </c>
      <c r="L163">
        <v>-6.3412634936891212</v>
      </c>
      <c r="M163">
        <v>-47.089739850636796</v>
      </c>
      <c r="N163">
        <v>0</v>
      </c>
      <c r="O163">
        <v>0</v>
      </c>
    </row>
    <row r="164" spans="1:15" x14ac:dyDescent="0.3">
      <c r="A164">
        <v>162</v>
      </c>
      <c r="B164" s="20">
        <v>49918</v>
      </c>
      <c r="C164">
        <v>-1.2010686287045569E-18</v>
      </c>
      <c r="D164">
        <v>-7.5856958329887737E-12</v>
      </c>
      <c r="E164">
        <v>0</v>
      </c>
      <c r="F164">
        <v>62.644020682061125</v>
      </c>
      <c r="G164">
        <v>0</v>
      </c>
      <c r="H164">
        <v>0</v>
      </c>
      <c r="I164">
        <v>-2.4212313999014752</v>
      </c>
      <c r="J164">
        <v>0</v>
      </c>
      <c r="K164">
        <v>146.20882251912832</v>
      </c>
      <c r="L164">
        <v>-5.6510643501417057</v>
      </c>
      <c r="M164">
        <v>-40.715970196119905</v>
      </c>
      <c r="N164">
        <v>0</v>
      </c>
      <c r="O164">
        <v>0</v>
      </c>
    </row>
    <row r="165" spans="1:15" x14ac:dyDescent="0.3">
      <c r="A165">
        <v>163</v>
      </c>
      <c r="B165" s="20">
        <v>49948</v>
      </c>
      <c r="C165">
        <v>-1.137854496762984E-18</v>
      </c>
      <c r="D165">
        <v>-7.5856958962029065E-12</v>
      </c>
      <c r="E165">
        <v>0</v>
      </c>
      <c r="F165">
        <v>47.723507620094338</v>
      </c>
      <c r="G165">
        <v>0</v>
      </c>
      <c r="H165">
        <v>0</v>
      </c>
      <c r="I165">
        <v>-1.8519508622730667</v>
      </c>
      <c r="J165">
        <v>0</v>
      </c>
      <c r="K165">
        <v>111.38489802610579</v>
      </c>
      <c r="L165">
        <v>-4.3223846743567682</v>
      </c>
      <c r="M165">
        <v>-28.754350860725907</v>
      </c>
      <c r="N165">
        <v>0</v>
      </c>
      <c r="O165">
        <v>0</v>
      </c>
    </row>
    <row r="166" spans="1:15" x14ac:dyDescent="0.3">
      <c r="A166">
        <v>164</v>
      </c>
      <c r="B166" s="20">
        <v>49979</v>
      </c>
      <c r="C166">
        <v>-1.0746403642946263E-18</v>
      </c>
      <c r="D166">
        <v>-7.5856959594170393E-12</v>
      </c>
      <c r="E166">
        <v>0</v>
      </c>
      <c r="F166">
        <v>34.103740132596975</v>
      </c>
      <c r="G166">
        <v>0</v>
      </c>
      <c r="H166">
        <v>0</v>
      </c>
      <c r="I166">
        <v>-1.3289160838150293</v>
      </c>
      <c r="J166">
        <v>0</v>
      </c>
      <c r="K166">
        <v>79.596865494829629</v>
      </c>
      <c r="L166">
        <v>-3.1016408864855416</v>
      </c>
      <c r="M166">
        <v>-17.838345497614842</v>
      </c>
      <c r="N166">
        <v>0</v>
      </c>
      <c r="O166">
        <v>0</v>
      </c>
    </row>
    <row r="167" spans="1:15" x14ac:dyDescent="0.3">
      <c r="A167">
        <v>165</v>
      </c>
      <c r="B167" s="20">
        <v>50009</v>
      </c>
      <c r="C167">
        <v>-1.0114262312994842E-18</v>
      </c>
      <c r="D167">
        <v>-7.585696022631172E-12</v>
      </c>
      <c r="E167">
        <v>0</v>
      </c>
      <c r="F167">
        <v>20.422628203125733</v>
      </c>
      <c r="G167">
        <v>0</v>
      </c>
      <c r="H167">
        <v>0</v>
      </c>
      <c r="I167">
        <v>-0.79900152509047773</v>
      </c>
      <c r="J167">
        <v>0</v>
      </c>
      <c r="K167">
        <v>47.665657309573405</v>
      </c>
      <c r="L167">
        <v>-1.8648399464550913</v>
      </c>
      <c r="M167">
        <v>-6.8769443436217257</v>
      </c>
      <c r="N167">
        <v>0</v>
      </c>
      <c r="O167">
        <v>0</v>
      </c>
    </row>
    <row r="168" spans="1:15" x14ac:dyDescent="0.3">
      <c r="A168">
        <v>166</v>
      </c>
      <c r="B168" s="20">
        <v>50040</v>
      </c>
      <c r="C168">
        <v>-9.4821209777755777E-19</v>
      </c>
      <c r="D168">
        <v>-7.5856960858453048E-12</v>
      </c>
      <c r="E168">
        <v>0</v>
      </c>
      <c r="F168">
        <v>13.845717979410722</v>
      </c>
      <c r="G168">
        <v>0</v>
      </c>
      <c r="H168">
        <v>-25.079986583401354</v>
      </c>
      <c r="I168">
        <v>-0.54393862963843964</v>
      </c>
      <c r="J168">
        <v>0</v>
      </c>
      <c r="K168">
        <v>32.315392605080149</v>
      </c>
      <c r="L168">
        <v>-1.2695326017743698</v>
      </c>
      <c r="M168">
        <v>4.6622534742474899</v>
      </c>
      <c r="N168">
        <v>0</v>
      </c>
      <c r="O168">
        <v>0</v>
      </c>
    </row>
    <row r="169" spans="1:15" x14ac:dyDescent="0.3">
      <c r="A169">
        <v>167</v>
      </c>
      <c r="B169" s="20">
        <v>50071</v>
      </c>
      <c r="C169">
        <v>-8.8499796372884688E-19</v>
      </c>
      <c r="D169">
        <v>-7.5856961490594392E-12</v>
      </c>
      <c r="E169">
        <v>0</v>
      </c>
      <c r="F169">
        <v>14.304335499158842</v>
      </c>
      <c r="G169">
        <v>0</v>
      </c>
      <c r="H169">
        <v>0</v>
      </c>
      <c r="I169">
        <v>-0.5642876603959377</v>
      </c>
      <c r="J169">
        <v>0</v>
      </c>
      <c r="K169">
        <v>33.385788898596118</v>
      </c>
      <c r="L169">
        <v>-1.3170264853735638</v>
      </c>
      <c r="M169">
        <v>-1.9730358963296988</v>
      </c>
      <c r="N169">
        <v>0</v>
      </c>
      <c r="O169">
        <v>0</v>
      </c>
    </row>
    <row r="170" spans="1:15" x14ac:dyDescent="0.3">
      <c r="A170">
        <v>168</v>
      </c>
      <c r="B170" s="20">
        <v>50099</v>
      </c>
      <c r="C170">
        <v>-8.2178382915335169E-19</v>
      </c>
      <c r="D170">
        <v>-7.5856962122735736E-12</v>
      </c>
      <c r="E170">
        <v>0</v>
      </c>
      <c r="F170">
        <v>19.813140140641259</v>
      </c>
      <c r="G170">
        <v>0</v>
      </c>
      <c r="H170">
        <v>0</v>
      </c>
      <c r="I170">
        <v>-0.78453184785380092</v>
      </c>
      <c r="J170">
        <v>0</v>
      </c>
      <c r="K170">
        <v>46.243134760971444</v>
      </c>
      <c r="L170">
        <v>-1.8310682560691294</v>
      </c>
      <c r="M170">
        <v>-6.3810020327557764</v>
      </c>
      <c r="N170">
        <v>0</v>
      </c>
      <c r="O170">
        <v>0</v>
      </c>
    </row>
    <row r="171" spans="1:15" x14ac:dyDescent="0.3">
      <c r="A171">
        <v>169</v>
      </c>
      <c r="B171" s="20">
        <v>50130</v>
      </c>
      <c r="C171">
        <v>-7.5856969405107181E-19</v>
      </c>
      <c r="D171">
        <v>-7.5856962754877096E-12</v>
      </c>
      <c r="E171">
        <v>0</v>
      </c>
      <c r="F171">
        <v>34.759737050956581</v>
      </c>
      <c r="G171">
        <v>0</v>
      </c>
      <c r="H171">
        <v>0</v>
      </c>
      <c r="I171">
        <v>-1.3820768536498791</v>
      </c>
      <c r="J171">
        <v>0</v>
      </c>
      <c r="K171">
        <v>81.127937989303163</v>
      </c>
      <c r="L171">
        <v>-3.2257161530015934</v>
      </c>
      <c r="M171">
        <v>-18.340803841735401</v>
      </c>
      <c r="N171">
        <v>0</v>
      </c>
      <c r="O171">
        <v>0</v>
      </c>
    </row>
    <row r="172" spans="1:15" x14ac:dyDescent="0.3">
      <c r="A172">
        <v>170</v>
      </c>
      <c r="B172" s="20">
        <v>50160</v>
      </c>
      <c r="C172">
        <v>-6.9535555842200753E-19</v>
      </c>
      <c r="D172">
        <v>-7.5856963387018439E-12</v>
      </c>
      <c r="E172">
        <v>0</v>
      </c>
      <c r="F172">
        <v>48.291364933777274</v>
      </c>
      <c r="G172">
        <v>0</v>
      </c>
      <c r="H172">
        <v>0</v>
      </c>
      <c r="I172">
        <v>-1.9278161840026562</v>
      </c>
      <c r="J172">
        <v>0</v>
      </c>
      <c r="K172">
        <v>112.71025594995044</v>
      </c>
      <c r="L172">
        <v>-4.4994515235045034</v>
      </c>
      <c r="M172">
        <v>-29.164421627388471</v>
      </c>
      <c r="N172">
        <v>0</v>
      </c>
      <c r="O172">
        <v>0</v>
      </c>
    </row>
    <row r="173" spans="1:15" x14ac:dyDescent="0.3">
      <c r="A173">
        <v>171</v>
      </c>
      <c r="B173" s="20">
        <v>50191</v>
      </c>
      <c r="C173">
        <v>-6.3214142226615884E-19</v>
      </c>
      <c r="D173">
        <v>-7.5856964019159799E-12</v>
      </c>
      <c r="E173">
        <v>0</v>
      </c>
      <c r="F173">
        <v>62.94561127412706</v>
      </c>
      <c r="G173">
        <v>0</v>
      </c>
      <c r="H173">
        <v>0</v>
      </c>
      <c r="I173">
        <v>-2.5232485989360489</v>
      </c>
      <c r="J173">
        <v>0</v>
      </c>
      <c r="K173">
        <v>146.91272378326659</v>
      </c>
      <c r="L173">
        <v>-5.8891687116616538</v>
      </c>
      <c r="M173">
        <v>-40.882312770032321</v>
      </c>
      <c r="N173">
        <v>0</v>
      </c>
      <c r="O173">
        <v>0</v>
      </c>
    </row>
    <row r="174" spans="1:15" x14ac:dyDescent="0.3">
      <c r="A174">
        <v>172</v>
      </c>
      <c r="B174" s="20">
        <v>50221</v>
      </c>
      <c r="C174">
        <v>-5.6892728558352575E-19</v>
      </c>
      <c r="D174">
        <v>-7.5856964651301175E-12</v>
      </c>
      <c r="E174">
        <v>0</v>
      </c>
      <c r="F174">
        <v>68.14361620838379</v>
      </c>
      <c r="G174">
        <v>0</v>
      </c>
      <c r="H174">
        <v>0</v>
      </c>
      <c r="I174">
        <v>-2.7425856039830401</v>
      </c>
      <c r="J174">
        <v>0</v>
      </c>
      <c r="K174">
        <v>159.04467464803488</v>
      </c>
      <c r="L174">
        <v>-6.4010931522328196</v>
      </c>
      <c r="M174">
        <v>-45.031986358384039</v>
      </c>
      <c r="N174">
        <v>0</v>
      </c>
      <c r="O174">
        <v>0</v>
      </c>
    </row>
    <row r="175" spans="1:15" x14ac:dyDescent="0.3">
      <c r="A175">
        <v>173</v>
      </c>
      <c r="B175" s="20">
        <v>50252</v>
      </c>
      <c r="C175">
        <v>-5.0571314837410817E-19</v>
      </c>
      <c r="D175">
        <v>-7.5856965283442552E-12</v>
      </c>
      <c r="E175">
        <v>0</v>
      </c>
      <c r="F175">
        <v>70.233885618119203</v>
      </c>
      <c r="G175">
        <v>0</v>
      </c>
      <c r="H175">
        <v>0</v>
      </c>
      <c r="I175">
        <v>-2.8384428569963602</v>
      </c>
      <c r="J175">
        <v>0</v>
      </c>
      <c r="K175">
        <v>163.92328597945419</v>
      </c>
      <c r="L175">
        <v>-6.6248204280430247</v>
      </c>
      <c r="M175">
        <v>-46.694310411466837</v>
      </c>
      <c r="N175">
        <v>0</v>
      </c>
      <c r="O175">
        <v>0</v>
      </c>
    </row>
    <row r="176" spans="1:15" x14ac:dyDescent="0.3">
      <c r="A176">
        <v>174</v>
      </c>
      <c r="B176" s="20">
        <v>50283</v>
      </c>
      <c r="C176">
        <v>-4.4249901063790598E-19</v>
      </c>
      <c r="D176">
        <v>-7.5856965915583928E-12</v>
      </c>
      <c r="E176">
        <v>0</v>
      </c>
      <c r="F176">
        <v>62.330800578650788</v>
      </c>
      <c r="G176">
        <v>0</v>
      </c>
      <c r="H176">
        <v>0</v>
      </c>
      <c r="I176">
        <v>-2.5294995634623705</v>
      </c>
      <c r="J176">
        <v>0</v>
      </c>
      <c r="K176">
        <v>145.47777840653259</v>
      </c>
      <c r="L176">
        <v>-5.9037582311888395</v>
      </c>
      <c r="M176">
        <v>-40.364663630966376</v>
      </c>
      <c r="N176">
        <v>0</v>
      </c>
      <c r="O176">
        <v>0</v>
      </c>
    </row>
    <row r="177" spans="1:15" x14ac:dyDescent="0.3">
      <c r="A177">
        <v>175</v>
      </c>
      <c r="B177" s="20">
        <v>50313</v>
      </c>
      <c r="C177">
        <v>-3.7928487237491944E-19</v>
      </c>
      <c r="D177">
        <v>-7.5856966547725304E-12</v>
      </c>
      <c r="E177">
        <v>0</v>
      </c>
      <c r="F177">
        <v>47.484890081993846</v>
      </c>
      <c r="G177">
        <v>0</v>
      </c>
      <c r="H177">
        <v>0</v>
      </c>
      <c r="I177">
        <v>-1.9347629879011585</v>
      </c>
      <c r="J177">
        <v>0</v>
      </c>
      <c r="K177">
        <v>110.8279735359752</v>
      </c>
      <c r="L177">
        <v>-4.5156651063367139</v>
      </c>
      <c r="M177">
        <v>-28.48644221426613</v>
      </c>
      <c r="N177">
        <v>0</v>
      </c>
      <c r="O177">
        <v>0</v>
      </c>
    </row>
    <row r="178" spans="1:15" x14ac:dyDescent="0.3">
      <c r="A178">
        <v>176</v>
      </c>
      <c r="B178" s="20">
        <v>50344</v>
      </c>
      <c r="C178">
        <v>-3.1607073358514845E-19</v>
      </c>
      <c r="D178">
        <v>-7.5856967179866696E-12</v>
      </c>
      <c r="E178">
        <v>0</v>
      </c>
      <c r="F178">
        <v>33.933221431933973</v>
      </c>
      <c r="G178">
        <v>0</v>
      </c>
      <c r="H178">
        <v>0</v>
      </c>
      <c r="I178">
        <v>-1.3883401041408212</v>
      </c>
      <c r="J178">
        <v>0</v>
      </c>
      <c r="K178">
        <v>79.198881167355438</v>
      </c>
      <c r="L178">
        <v>-3.2403343475148523</v>
      </c>
      <c r="M178">
        <v>-17.646690370241771</v>
      </c>
      <c r="N178">
        <v>0</v>
      </c>
      <c r="O178">
        <v>0</v>
      </c>
    </row>
    <row r="179" spans="1:15" x14ac:dyDescent="0.3">
      <c r="A179">
        <v>177</v>
      </c>
      <c r="B179" s="20">
        <v>50374</v>
      </c>
      <c r="C179">
        <v>-2.5285659426859282E-19</v>
      </c>
      <c r="D179">
        <v>-7.5856967812008088E-12</v>
      </c>
      <c r="E179">
        <v>0</v>
      </c>
      <c r="F179">
        <v>20.320515062110093</v>
      </c>
      <c r="G179">
        <v>0</v>
      </c>
      <c r="H179">
        <v>0</v>
      </c>
      <c r="I179">
        <v>-0.8347298027790212</v>
      </c>
      <c r="J179">
        <v>0</v>
      </c>
      <c r="K179">
        <v>47.427329023025521</v>
      </c>
      <c r="L179">
        <v>-1.9482284223958493</v>
      </c>
      <c r="M179">
        <v>-6.7620547983235202</v>
      </c>
      <c r="N179">
        <v>0</v>
      </c>
      <c r="O179">
        <v>0</v>
      </c>
    </row>
    <row r="180" spans="1:15" x14ac:dyDescent="0.3">
      <c r="A180">
        <v>178</v>
      </c>
      <c r="B180" s="20">
        <v>50405</v>
      </c>
      <c r="C180">
        <v>-1.8964245442525274E-19</v>
      </c>
      <c r="D180">
        <v>-7.5856968444149481E-12</v>
      </c>
      <c r="E180">
        <v>0</v>
      </c>
      <c r="F180">
        <v>13.776489389513664</v>
      </c>
      <c r="G180">
        <v>0</v>
      </c>
      <c r="H180">
        <v>-26.333132866906482</v>
      </c>
      <c r="I180">
        <v>-0.56826147483331879</v>
      </c>
      <c r="J180">
        <v>0</v>
      </c>
      <c r="K180">
        <v>32.153815642054738</v>
      </c>
      <c r="L180">
        <v>-1.3263012209903564</v>
      </c>
      <c r="M180">
        <v>5.0535142994571052</v>
      </c>
      <c r="N180">
        <v>0</v>
      </c>
      <c r="O180">
        <v>0</v>
      </c>
    </row>
    <row r="181" spans="1:15" x14ac:dyDescent="0.3">
      <c r="A181">
        <v>179</v>
      </c>
      <c r="B181" s="20">
        <v>50436</v>
      </c>
      <c r="C181">
        <v>-1.264283140551282E-19</v>
      </c>
      <c r="D181">
        <v>-7.5856969076290889E-12</v>
      </c>
      <c r="E181">
        <v>0</v>
      </c>
      <c r="F181">
        <v>14.232813821663042</v>
      </c>
      <c r="G181">
        <v>0</v>
      </c>
      <c r="H181">
        <v>0</v>
      </c>
      <c r="I181">
        <v>-0.58952043604622395</v>
      </c>
      <c r="J181">
        <v>0</v>
      </c>
      <c r="K181">
        <v>33.218859954103124</v>
      </c>
      <c r="L181">
        <v>-1.3759188485480456</v>
      </c>
      <c r="M181">
        <v>-1.8923919561263081</v>
      </c>
      <c r="N181">
        <v>0</v>
      </c>
      <c r="O181">
        <v>0</v>
      </c>
    </row>
    <row r="182" spans="1:15" x14ac:dyDescent="0.3">
      <c r="A182">
        <v>180</v>
      </c>
      <c r="B182" s="20">
        <v>50464</v>
      </c>
      <c r="C182">
        <v>-6.321417315821913E-20</v>
      </c>
      <c r="D182">
        <v>-7.5856969708432298E-12</v>
      </c>
      <c r="E182">
        <v>0</v>
      </c>
      <c r="F182">
        <v>19.714074439938042</v>
      </c>
      <c r="G182">
        <v>0</v>
      </c>
      <c r="H182">
        <v>0</v>
      </c>
      <c r="I182">
        <v>-0.81961309718239572</v>
      </c>
      <c r="J182">
        <v>0</v>
      </c>
      <c r="K182">
        <v>46.011919087166561</v>
      </c>
      <c r="L182">
        <v>-1.9129465917983466</v>
      </c>
      <c r="M182">
        <v>-6.2691917928642997</v>
      </c>
      <c r="N182">
        <v>0</v>
      </c>
      <c r="O182">
        <v>0</v>
      </c>
    </row>
    <row r="183" spans="1:15" x14ac:dyDescent="0.3">
      <c r="A183">
        <v>181</v>
      </c>
      <c r="B183" s="20">
        <v>50495</v>
      </c>
      <c r="C183">
        <v>-3.173452554509677E-26</v>
      </c>
      <c r="D183">
        <v>-3.8081430654116125E-18</v>
      </c>
      <c r="E183">
        <v>0</v>
      </c>
      <c r="F183">
        <v>34.585938365701786</v>
      </c>
      <c r="G183">
        <v>0</v>
      </c>
      <c r="H183">
        <v>0</v>
      </c>
      <c r="I183">
        <v>-1.4438780193091307</v>
      </c>
      <c r="J183">
        <v>0</v>
      </c>
      <c r="K183">
        <v>80.722298299356609</v>
      </c>
      <c r="L183">
        <v>-3.3699577831359169</v>
      </c>
      <c r="M183">
        <v>-18.144433548986672</v>
      </c>
      <c r="N183">
        <v>0</v>
      </c>
      <c r="O183">
        <v>0</v>
      </c>
    </row>
    <row r="184" spans="1:15" x14ac:dyDescent="0.3">
      <c r="A184">
        <v>182</v>
      </c>
      <c r="B184" s="20">
        <v>50525</v>
      </c>
      <c r="C184">
        <v>0</v>
      </c>
      <c r="D184">
        <v>0</v>
      </c>
      <c r="E184">
        <v>0</v>
      </c>
      <c r="F184">
        <v>48.04990810910838</v>
      </c>
      <c r="G184">
        <v>0</v>
      </c>
      <c r="H184">
        <v>0</v>
      </c>
      <c r="I184">
        <v>-2.0140207152727512</v>
      </c>
      <c r="J184">
        <v>0</v>
      </c>
      <c r="K184">
        <v>112.14670467020066</v>
      </c>
      <c r="L184">
        <v>-4.7006497045213749</v>
      </c>
      <c r="M184">
        <v>-28.891318923212062</v>
      </c>
      <c r="N184">
        <v>0</v>
      </c>
      <c r="O184">
        <v>0</v>
      </c>
    </row>
    <row r="185" spans="1:15" x14ac:dyDescent="0.3">
      <c r="A185">
        <v>183</v>
      </c>
      <c r="B185" s="20">
        <v>50556</v>
      </c>
      <c r="C185">
        <v>0</v>
      </c>
      <c r="D185">
        <v>0</v>
      </c>
      <c r="E185">
        <v>0</v>
      </c>
      <c r="F185">
        <v>62.630883217756406</v>
      </c>
      <c r="G185">
        <v>0</v>
      </c>
      <c r="H185">
        <v>0</v>
      </c>
      <c r="I185">
        <v>-2.636078579591977</v>
      </c>
      <c r="J185">
        <v>0</v>
      </c>
      <c r="K185">
        <v>146.1781601643502</v>
      </c>
      <c r="L185">
        <v>-6.1525097047356079</v>
      </c>
      <c r="M185">
        <v>-40.525947107778087</v>
      </c>
      <c r="N185">
        <v>0</v>
      </c>
      <c r="O185">
        <v>0</v>
      </c>
    </row>
    <row r="186" spans="1:15" x14ac:dyDescent="0.3">
      <c r="A186">
        <v>184</v>
      </c>
      <c r="B186" s="20">
        <v>50586</v>
      </c>
      <c r="C186">
        <v>0</v>
      </c>
      <c r="D186">
        <v>0</v>
      </c>
      <c r="E186">
        <v>0</v>
      </c>
      <c r="F186">
        <v>67.802898127341834</v>
      </c>
      <c r="G186">
        <v>0</v>
      </c>
      <c r="H186">
        <v>0</v>
      </c>
      <c r="I186">
        <v>-2.8652234926061082</v>
      </c>
      <c r="J186">
        <v>0</v>
      </c>
      <c r="K186">
        <v>158.24945127479464</v>
      </c>
      <c r="L186">
        <v>-6.6873254389951136</v>
      </c>
      <c r="M186">
        <v>-44.645783450967144</v>
      </c>
      <c r="N186">
        <v>0</v>
      </c>
      <c r="O186">
        <v>0</v>
      </c>
    </row>
    <row r="187" spans="1:15" x14ac:dyDescent="0.3">
      <c r="A187">
        <v>185</v>
      </c>
      <c r="B187" s="20">
        <v>50617</v>
      </c>
      <c r="C187">
        <v>0</v>
      </c>
      <c r="D187">
        <v>0</v>
      </c>
      <c r="E187">
        <v>0</v>
      </c>
      <c r="F187">
        <v>69.882716190028574</v>
      </c>
      <c r="G187">
        <v>0</v>
      </c>
      <c r="H187">
        <v>0</v>
      </c>
      <c r="I187">
        <v>-2.9653671136006823</v>
      </c>
      <c r="J187">
        <v>0</v>
      </c>
      <c r="K187">
        <v>163.10366954955683</v>
      </c>
      <c r="L187">
        <v>-6.9210569388094516</v>
      </c>
      <c r="M187">
        <v>-46.295823755127152</v>
      </c>
      <c r="N187">
        <v>0</v>
      </c>
      <c r="O187">
        <v>0</v>
      </c>
    </row>
    <row r="188" spans="1:15" x14ac:dyDescent="0.3">
      <c r="A188">
        <v>186</v>
      </c>
      <c r="B188" s="20">
        <v>50648</v>
      </c>
      <c r="C188">
        <v>0</v>
      </c>
      <c r="D188">
        <v>0</v>
      </c>
      <c r="E188">
        <v>0</v>
      </c>
      <c r="F188">
        <v>62.019146575757503</v>
      </c>
      <c r="G188">
        <v>0</v>
      </c>
      <c r="H188">
        <v>0</v>
      </c>
      <c r="I188">
        <v>-2.6426090632298447</v>
      </c>
      <c r="J188">
        <v>0</v>
      </c>
      <c r="K188">
        <v>144.75038951449986</v>
      </c>
      <c r="L188">
        <v>-6.1677516115094253</v>
      </c>
      <c r="M188">
        <v>-40.010627187212854</v>
      </c>
      <c r="N188">
        <v>0</v>
      </c>
      <c r="O188">
        <v>0</v>
      </c>
    </row>
    <row r="189" spans="1:15" x14ac:dyDescent="0.3">
      <c r="A189">
        <v>187</v>
      </c>
      <c r="B189" s="20">
        <v>50678</v>
      </c>
      <c r="C189">
        <v>0</v>
      </c>
      <c r="D189">
        <v>0</v>
      </c>
      <c r="E189">
        <v>0</v>
      </c>
      <c r="F189">
        <v>47.24746563158385</v>
      </c>
      <c r="G189">
        <v>0</v>
      </c>
      <c r="H189">
        <v>0</v>
      </c>
      <c r="I189">
        <v>-2.0212781535454556</v>
      </c>
      <c r="J189">
        <v>0</v>
      </c>
      <c r="K189">
        <v>110.27383366829528</v>
      </c>
      <c r="L189">
        <v>-4.7175882964700433</v>
      </c>
      <c r="M189">
        <v>-28.216441545799242</v>
      </c>
      <c r="N189">
        <v>0</v>
      </c>
      <c r="O189">
        <v>0</v>
      </c>
    </row>
    <row r="190" spans="1:15" x14ac:dyDescent="0.3">
      <c r="A190">
        <v>188</v>
      </c>
      <c r="B190" s="20">
        <v>50709</v>
      </c>
      <c r="C190">
        <v>0</v>
      </c>
      <c r="D190">
        <v>0</v>
      </c>
      <c r="E190">
        <v>0</v>
      </c>
      <c r="F190">
        <v>33.763555324774295</v>
      </c>
      <c r="G190">
        <v>0</v>
      </c>
      <c r="H190">
        <v>0</v>
      </c>
      <c r="I190">
        <v>-1.4504213382927433</v>
      </c>
      <c r="J190">
        <v>0</v>
      </c>
      <c r="K190">
        <v>78.802886761518636</v>
      </c>
      <c r="L190">
        <v>-3.3852296471309908</v>
      </c>
      <c r="M190">
        <v>-17.453531108550635</v>
      </c>
      <c r="N190">
        <v>0</v>
      </c>
      <c r="O190">
        <v>0</v>
      </c>
    </row>
    <row r="191" spans="1:15" x14ac:dyDescent="0.3">
      <c r="A191">
        <v>189</v>
      </c>
      <c r="B191" s="20">
        <v>50739</v>
      </c>
      <c r="C191">
        <v>0</v>
      </c>
      <c r="D191">
        <v>0</v>
      </c>
      <c r="E191">
        <v>0</v>
      </c>
      <c r="F191">
        <v>20.218912486799535</v>
      </c>
      <c r="G191">
        <v>0</v>
      </c>
      <c r="H191">
        <v>0</v>
      </c>
      <c r="I191">
        <v>-0.87205571174423246</v>
      </c>
      <c r="J191">
        <v>0</v>
      </c>
      <c r="K191">
        <v>47.190192377910364</v>
      </c>
      <c r="L191">
        <v>-2.0353457105239161</v>
      </c>
      <c r="M191">
        <v>-6.6462591939437718</v>
      </c>
      <c r="N191">
        <v>0</v>
      </c>
      <c r="O191">
        <v>0</v>
      </c>
    </row>
    <row r="192" spans="1:15" x14ac:dyDescent="0.3">
      <c r="A192">
        <v>190</v>
      </c>
      <c r="B192" s="20">
        <v>50770</v>
      </c>
      <c r="C192">
        <v>0</v>
      </c>
      <c r="D192">
        <v>0</v>
      </c>
      <c r="E192">
        <v>0</v>
      </c>
      <c r="F192">
        <v>13.707606942566091</v>
      </c>
      <c r="G192">
        <v>0</v>
      </c>
      <c r="H192">
        <v>-27.648893841318266</v>
      </c>
      <c r="I192">
        <v>-0.5936719441941215</v>
      </c>
      <c r="J192">
        <v>0</v>
      </c>
      <c r="K192">
        <v>31.993046563844455</v>
      </c>
      <c r="L192">
        <v>-1.3856083146993854</v>
      </c>
      <c r="M192">
        <v>5.4610468151169727</v>
      </c>
      <c r="N192">
        <v>0</v>
      </c>
      <c r="O192">
        <v>0</v>
      </c>
    </row>
    <row r="193" spans="1:15" x14ac:dyDescent="0.3">
      <c r="A193">
        <v>191</v>
      </c>
      <c r="B193" s="20">
        <v>50801</v>
      </c>
      <c r="C193">
        <v>0</v>
      </c>
      <c r="D193">
        <v>0</v>
      </c>
      <c r="E193">
        <v>0</v>
      </c>
      <c r="F193">
        <v>14.161649752554723</v>
      </c>
      <c r="G193">
        <v>0</v>
      </c>
      <c r="H193">
        <v>0</v>
      </c>
      <c r="I193">
        <v>-0.61588152445559308</v>
      </c>
      <c r="J193">
        <v>0</v>
      </c>
      <c r="K193">
        <v>33.052765654332596</v>
      </c>
      <c r="L193">
        <v>-1.4374446518839767</v>
      </c>
      <c r="M193">
        <v>-1.8111056409702715</v>
      </c>
      <c r="N193">
        <v>0</v>
      </c>
      <c r="O193">
        <v>0</v>
      </c>
    </row>
    <row r="194" spans="1:15" x14ac:dyDescent="0.3">
      <c r="A194">
        <v>192</v>
      </c>
      <c r="B194" s="20">
        <v>50829</v>
      </c>
      <c r="C194">
        <v>0</v>
      </c>
      <c r="D194">
        <v>0</v>
      </c>
      <c r="E194">
        <v>0</v>
      </c>
      <c r="F194">
        <v>19.615504067738346</v>
      </c>
      <c r="G194">
        <v>0</v>
      </c>
      <c r="H194">
        <v>0</v>
      </c>
      <c r="I194">
        <v>-0.8562630451658918</v>
      </c>
      <c r="J194">
        <v>0</v>
      </c>
      <c r="K194">
        <v>45.781859491730714</v>
      </c>
      <c r="L194">
        <v>-1.9984862120479892</v>
      </c>
      <c r="M194">
        <v>-6.1564869088971284</v>
      </c>
      <c r="N194">
        <v>0</v>
      </c>
      <c r="O194">
        <v>0</v>
      </c>
    </row>
    <row r="195" spans="1:15" x14ac:dyDescent="0.3">
      <c r="A195">
        <v>193</v>
      </c>
      <c r="B195" s="20">
        <v>50860</v>
      </c>
      <c r="C195">
        <v>0</v>
      </c>
      <c r="D195">
        <v>0</v>
      </c>
      <c r="E195">
        <v>0</v>
      </c>
      <c r="F195">
        <v>34.413008673873264</v>
      </c>
      <c r="G195">
        <v>0</v>
      </c>
      <c r="H195">
        <v>0</v>
      </c>
      <c r="I195">
        <v>-1.5084426955986026</v>
      </c>
      <c r="J195">
        <v>0</v>
      </c>
      <c r="K195">
        <v>80.318686807859805</v>
      </c>
      <c r="L195">
        <v>-3.5206493446581741</v>
      </c>
      <c r="M195">
        <v>-17.94648419370241</v>
      </c>
      <c r="N195">
        <v>0</v>
      </c>
      <c r="O195">
        <v>0</v>
      </c>
    </row>
    <row r="196" spans="1:15" x14ac:dyDescent="0.3">
      <c r="A196">
        <v>194</v>
      </c>
      <c r="B196" s="20">
        <v>50890</v>
      </c>
      <c r="C196">
        <v>0</v>
      </c>
      <c r="D196">
        <v>0</v>
      </c>
      <c r="E196">
        <v>0</v>
      </c>
      <c r="F196">
        <v>47.80965856856281</v>
      </c>
      <c r="G196">
        <v>0</v>
      </c>
      <c r="H196">
        <v>0</v>
      </c>
      <c r="I196">
        <v>-2.1040799819025557</v>
      </c>
      <c r="J196">
        <v>0</v>
      </c>
      <c r="K196">
        <v>111.5859711468496</v>
      </c>
      <c r="L196">
        <v>-4.9108446950011384</v>
      </c>
      <c r="M196">
        <v>-28.616009592960516</v>
      </c>
      <c r="N196">
        <v>0</v>
      </c>
      <c r="O196">
        <v>0</v>
      </c>
    </row>
    <row r="197" spans="1:15" x14ac:dyDescent="0.3">
      <c r="A197">
        <v>195</v>
      </c>
      <c r="B197" s="20">
        <v>50921</v>
      </c>
      <c r="C197">
        <v>0</v>
      </c>
      <c r="D197">
        <v>0</v>
      </c>
      <c r="E197">
        <v>0</v>
      </c>
      <c r="F197">
        <v>62.317728801667592</v>
      </c>
      <c r="G197">
        <v>0</v>
      </c>
      <c r="H197">
        <v>0</v>
      </c>
      <c r="I197">
        <v>-2.7539538833841921</v>
      </c>
      <c r="J197">
        <v>0</v>
      </c>
      <c r="K197">
        <v>145.44726936352839</v>
      </c>
      <c r="L197">
        <v>-6.4276262950166592</v>
      </c>
      <c r="M197">
        <v>-40.166687830032117</v>
      </c>
      <c r="N197">
        <v>0</v>
      </c>
      <c r="O197">
        <v>0</v>
      </c>
    </row>
    <row r="198" spans="1:15" x14ac:dyDescent="0.3">
      <c r="A198">
        <v>196</v>
      </c>
      <c r="B198" s="20">
        <v>50951</v>
      </c>
      <c r="C198">
        <v>0</v>
      </c>
      <c r="D198">
        <v>0</v>
      </c>
      <c r="E198">
        <v>0</v>
      </c>
      <c r="F198">
        <v>67.463883636705106</v>
      </c>
      <c r="G198">
        <v>0</v>
      </c>
      <c r="H198">
        <v>0</v>
      </c>
      <c r="I198">
        <v>-2.9933452763185704</v>
      </c>
      <c r="J198">
        <v>0</v>
      </c>
      <c r="K198">
        <v>157.45820401842062</v>
      </c>
      <c r="L198">
        <v>-6.9863569336484233</v>
      </c>
      <c r="M198">
        <v>-44.256429694623009</v>
      </c>
      <c r="N198">
        <v>0</v>
      </c>
      <c r="O198">
        <v>0</v>
      </c>
    </row>
    <row r="199" spans="1:15" x14ac:dyDescent="0.3">
      <c r="A199">
        <v>197</v>
      </c>
      <c r="B199" s="20">
        <v>50982</v>
      </c>
      <c r="C199">
        <v>0</v>
      </c>
      <c r="D199">
        <v>0</v>
      </c>
      <c r="E199">
        <v>0</v>
      </c>
      <c r="F199">
        <v>69.53330260907839</v>
      </c>
      <c r="G199">
        <v>0</v>
      </c>
      <c r="H199">
        <v>0</v>
      </c>
      <c r="I199">
        <v>-3.0979669351982722</v>
      </c>
      <c r="J199">
        <v>0</v>
      </c>
      <c r="K199">
        <v>162.28815120180897</v>
      </c>
      <c r="L199">
        <v>-7.2305400079187407</v>
      </c>
      <c r="M199">
        <v>-45.894070050275921</v>
      </c>
      <c r="N199">
        <v>0</v>
      </c>
      <c r="O199">
        <v>0</v>
      </c>
    </row>
    <row r="200" spans="1:15" x14ac:dyDescent="0.3">
      <c r="A200">
        <v>198</v>
      </c>
      <c r="B200" s="20">
        <v>51013</v>
      </c>
      <c r="C200">
        <v>0</v>
      </c>
      <c r="D200">
        <v>0</v>
      </c>
      <c r="E200">
        <v>0</v>
      </c>
      <c r="F200">
        <v>61.709050842878696</v>
      </c>
      <c r="G200">
        <v>0</v>
      </c>
      <c r="H200">
        <v>0</v>
      </c>
      <c r="I200">
        <v>-2.760776385154101</v>
      </c>
      <c r="J200">
        <v>0</v>
      </c>
      <c r="K200">
        <v>144.02663756692732</v>
      </c>
      <c r="L200">
        <v>-6.4435497612876977</v>
      </c>
      <c r="M200">
        <v>-39.653673899174386</v>
      </c>
      <c r="N200">
        <v>0</v>
      </c>
      <c r="O200">
        <v>0</v>
      </c>
    </row>
    <row r="201" spans="1:15" x14ac:dyDescent="0.3">
      <c r="A201">
        <v>199</v>
      </c>
      <c r="B201" s="20">
        <v>51043</v>
      </c>
      <c r="C201">
        <v>0</v>
      </c>
      <c r="D201">
        <v>0</v>
      </c>
      <c r="E201">
        <v>0</v>
      </c>
      <c r="F201">
        <v>47.011228303425909</v>
      </c>
      <c r="G201">
        <v>0</v>
      </c>
      <c r="H201">
        <v>0</v>
      </c>
      <c r="I201">
        <v>-2.1116619449249288</v>
      </c>
      <c r="J201">
        <v>0</v>
      </c>
      <c r="K201">
        <v>109.72246449995376</v>
      </c>
      <c r="L201">
        <v>-4.9285407156877898</v>
      </c>
      <c r="M201">
        <v>-27.944205869025073</v>
      </c>
      <c r="N201">
        <v>0</v>
      </c>
      <c r="O201">
        <v>0</v>
      </c>
    </row>
    <row r="202" spans="1:15" x14ac:dyDescent="0.3">
      <c r="A202">
        <v>200</v>
      </c>
      <c r="B202" s="20">
        <v>51074</v>
      </c>
      <c r="C202">
        <v>0</v>
      </c>
      <c r="D202">
        <v>0</v>
      </c>
      <c r="E202">
        <v>0</v>
      </c>
      <c r="F202">
        <v>33.594737548150405</v>
      </c>
      <c r="G202">
        <v>0</v>
      </c>
      <c r="H202">
        <v>0</v>
      </c>
      <c r="I202">
        <v>-1.5152786066615915</v>
      </c>
      <c r="J202">
        <v>0</v>
      </c>
      <c r="K202">
        <v>78.408872327711009</v>
      </c>
      <c r="L202">
        <v>-3.5366041077222774</v>
      </c>
      <c r="M202">
        <v>-17.25876512370272</v>
      </c>
      <c r="N202">
        <v>0</v>
      </c>
      <c r="O202">
        <v>0</v>
      </c>
    </row>
    <row r="203" spans="1:15" x14ac:dyDescent="0.3">
      <c r="A203">
        <v>201</v>
      </c>
      <c r="B203" s="20">
        <v>51104</v>
      </c>
      <c r="C203">
        <v>0</v>
      </c>
      <c r="D203">
        <v>0</v>
      </c>
      <c r="E203">
        <v>0</v>
      </c>
      <c r="F203">
        <v>20.117817924365529</v>
      </c>
      <c r="G203">
        <v>0</v>
      </c>
      <c r="H203">
        <v>0</v>
      </c>
      <c r="I203">
        <v>-0.91105069191720545</v>
      </c>
      <c r="J203">
        <v>0</v>
      </c>
      <c r="K203">
        <v>46.9542414160208</v>
      </c>
      <c r="L203">
        <v>-2.1263585489907135</v>
      </c>
      <c r="M203">
        <v>-6.529495858202937</v>
      </c>
      <c r="N203">
        <v>0</v>
      </c>
      <c r="O203">
        <v>0</v>
      </c>
    </row>
    <row r="204" spans="1:15" x14ac:dyDescent="0.3">
      <c r="A204">
        <v>202</v>
      </c>
      <c r="B204" s="20">
        <v>51135</v>
      </c>
      <c r="C204">
        <v>0</v>
      </c>
      <c r="D204">
        <v>0</v>
      </c>
      <c r="E204">
        <v>0</v>
      </c>
      <c r="F204">
        <v>13.639068907853252</v>
      </c>
      <c r="G204">
        <v>0</v>
      </c>
      <c r="H204">
        <v>-29.030398111468354</v>
      </c>
      <c r="I204">
        <v>-0.62021867209387505</v>
      </c>
      <c r="J204">
        <v>0</v>
      </c>
      <c r="K204">
        <v>31.833081331025216</v>
      </c>
      <c r="L204">
        <v>-1.4475673937255842</v>
      </c>
      <c r="M204">
        <v>5.8856751512690044</v>
      </c>
      <c r="N204">
        <v>0</v>
      </c>
      <c r="O204">
        <v>0</v>
      </c>
    </row>
    <row r="205" spans="1:15" x14ac:dyDescent="0.3">
      <c r="A205">
        <v>203</v>
      </c>
      <c r="B205" s="20">
        <v>51166</v>
      </c>
      <c r="C205">
        <v>0</v>
      </c>
      <c r="D205">
        <v>0</v>
      </c>
      <c r="E205">
        <v>0</v>
      </c>
      <c r="F205">
        <v>13.546897031128228</v>
      </c>
      <c r="G205">
        <v>0</v>
      </c>
      <c r="H205">
        <v>0</v>
      </c>
      <c r="I205">
        <v>-0.61858357944635933</v>
      </c>
      <c r="J205">
        <v>0</v>
      </c>
      <c r="K205">
        <v>31.617955586882118</v>
      </c>
      <c r="L205">
        <v>-1.4437511480871332</v>
      </c>
      <c r="M205">
        <v>-1.2964628059525476</v>
      </c>
      <c r="N205">
        <v>0</v>
      </c>
      <c r="O205">
        <v>0</v>
      </c>
    </row>
    <row r="206" spans="1:15" x14ac:dyDescent="0.3">
      <c r="A206">
        <v>204</v>
      </c>
      <c r="B206" s="20">
        <v>51195</v>
      </c>
      <c r="C206">
        <v>0</v>
      </c>
      <c r="D206">
        <v>0</v>
      </c>
      <c r="E206">
        <v>0</v>
      </c>
      <c r="F206">
        <v>20.06114385547642</v>
      </c>
      <c r="G206">
        <v>0</v>
      </c>
      <c r="H206">
        <v>0</v>
      </c>
      <c r="I206">
        <v>-0.91959513556143713</v>
      </c>
      <c r="J206">
        <v>0</v>
      </c>
      <c r="K206">
        <v>46.821966239724247</v>
      </c>
      <c r="L206">
        <v>-2.1463009637767092</v>
      </c>
      <c r="M206">
        <v>-6.475136832298964</v>
      </c>
      <c r="N206">
        <v>0</v>
      </c>
      <c r="O206">
        <v>0</v>
      </c>
    </row>
    <row r="207" spans="1:15" x14ac:dyDescent="0.3">
      <c r="A207">
        <v>205</v>
      </c>
      <c r="B207" s="20">
        <v>51226</v>
      </c>
      <c r="C207">
        <v>0</v>
      </c>
      <c r="D207">
        <v>0</v>
      </c>
      <c r="E207">
        <v>0</v>
      </c>
      <c r="F207">
        <v>34.240943630503885</v>
      </c>
      <c r="G207">
        <v>0</v>
      </c>
      <c r="H207">
        <v>0</v>
      </c>
      <c r="I207">
        <v>-1.5761049827572704</v>
      </c>
      <c r="J207">
        <v>0</v>
      </c>
      <c r="K207">
        <v>79.917093373820464</v>
      </c>
      <c r="L207">
        <v>-3.6785706151434971</v>
      </c>
      <c r="M207">
        <v>-17.746673684939228</v>
      </c>
      <c r="N207">
        <v>0</v>
      </c>
      <c r="O207">
        <v>0</v>
      </c>
    </row>
    <row r="208" spans="1:15" x14ac:dyDescent="0.3">
      <c r="A208">
        <v>206</v>
      </c>
      <c r="B208" s="20">
        <v>51256</v>
      </c>
      <c r="C208">
        <v>0</v>
      </c>
      <c r="D208">
        <v>0</v>
      </c>
      <c r="E208">
        <v>0</v>
      </c>
      <c r="F208">
        <v>47.570610275719979</v>
      </c>
      <c r="G208">
        <v>0</v>
      </c>
      <c r="H208">
        <v>0</v>
      </c>
      <c r="I208">
        <v>-2.1984600099644096</v>
      </c>
      <c r="J208">
        <v>0</v>
      </c>
      <c r="K208">
        <v>111.0280412911153</v>
      </c>
      <c r="L208">
        <v>-5.1311241825244771</v>
      </c>
      <c r="M208">
        <v>-28.338100176919934</v>
      </c>
      <c r="N208">
        <v>0</v>
      </c>
      <c r="O208">
        <v>0</v>
      </c>
    </row>
    <row r="209" spans="1:15" x14ac:dyDescent="0.3">
      <c r="A209">
        <v>207</v>
      </c>
      <c r="B209" s="20">
        <v>51287</v>
      </c>
      <c r="C209">
        <v>0</v>
      </c>
      <c r="D209">
        <v>0</v>
      </c>
      <c r="E209">
        <v>0</v>
      </c>
      <c r="F209">
        <v>62.006140157659232</v>
      </c>
      <c r="G209">
        <v>0</v>
      </c>
      <c r="H209">
        <v>0</v>
      </c>
      <c r="I209">
        <v>-2.8774844749160917</v>
      </c>
      <c r="J209">
        <v>0</v>
      </c>
      <c r="K209">
        <v>144.72003301671069</v>
      </c>
      <c r="L209">
        <v>-6.7159421172822391</v>
      </c>
      <c r="M209">
        <v>-39.804019978876227</v>
      </c>
      <c r="N209">
        <v>0</v>
      </c>
      <c r="O209">
        <v>0</v>
      </c>
    </row>
    <row r="210" spans="1:15" x14ac:dyDescent="0.3">
      <c r="A210">
        <v>208</v>
      </c>
      <c r="B210" s="20">
        <v>51317</v>
      </c>
      <c r="C210">
        <v>0</v>
      </c>
      <c r="D210">
        <v>0</v>
      </c>
      <c r="E210">
        <v>0</v>
      </c>
      <c r="F210">
        <v>67.126564218521537</v>
      </c>
      <c r="G210">
        <v>0</v>
      </c>
      <c r="H210">
        <v>0</v>
      </c>
      <c r="I210">
        <v>-3.1276139417722049</v>
      </c>
      <c r="J210">
        <v>0</v>
      </c>
      <c r="K210">
        <v>156.67091299832842</v>
      </c>
      <c r="L210">
        <v>-7.2997350224659616</v>
      </c>
      <c r="M210">
        <v>-43.86336539648628</v>
      </c>
      <c r="N210">
        <v>0</v>
      </c>
      <c r="O210">
        <v>0</v>
      </c>
    </row>
    <row r="211" spans="1:15" x14ac:dyDescent="0.3">
      <c r="A211">
        <v>209</v>
      </c>
      <c r="B211" s="20">
        <v>51348</v>
      </c>
      <c r="C211">
        <v>0</v>
      </c>
      <c r="D211">
        <v>0</v>
      </c>
      <c r="E211">
        <v>0</v>
      </c>
      <c r="F211">
        <v>69.185636096032994</v>
      </c>
      <c r="G211">
        <v>0</v>
      </c>
      <c r="H211">
        <v>0</v>
      </c>
      <c r="I211">
        <v>-3.2369284807638214</v>
      </c>
      <c r="J211">
        <v>0</v>
      </c>
      <c r="K211">
        <v>161.47671044579991</v>
      </c>
      <c r="L211">
        <v>-7.5548711049869608</v>
      </c>
      <c r="M211">
        <v>-45.488470072353863</v>
      </c>
      <c r="N211">
        <v>0</v>
      </c>
      <c r="O211">
        <v>0</v>
      </c>
    </row>
    <row r="212" spans="1:15" x14ac:dyDescent="0.3">
      <c r="A212">
        <v>210</v>
      </c>
      <c r="B212" s="20">
        <v>51379</v>
      </c>
      <c r="C212">
        <v>0</v>
      </c>
      <c r="D212">
        <v>0</v>
      </c>
      <c r="E212">
        <v>0</v>
      </c>
      <c r="F212">
        <v>61.400505588664274</v>
      </c>
      <c r="G212">
        <v>0</v>
      </c>
      <c r="H212">
        <v>0</v>
      </c>
      <c r="I212">
        <v>-2.8846130049330418</v>
      </c>
      <c r="J212">
        <v>0</v>
      </c>
      <c r="K212">
        <v>143.30650437909262</v>
      </c>
      <c r="L212">
        <v>-6.7325798421396579</v>
      </c>
      <c r="M212">
        <v>-39.293287613504376</v>
      </c>
      <c r="N212">
        <v>0</v>
      </c>
      <c r="O212">
        <v>0</v>
      </c>
    </row>
    <row r="213" spans="1:15" x14ac:dyDescent="0.3">
      <c r="A213">
        <v>211</v>
      </c>
      <c r="B213" s="20">
        <v>51409</v>
      </c>
      <c r="C213">
        <v>0</v>
      </c>
      <c r="D213">
        <v>0</v>
      </c>
      <c r="E213">
        <v>0</v>
      </c>
      <c r="F213">
        <v>46.776172161908768</v>
      </c>
      <c r="G213">
        <v>0</v>
      </c>
      <c r="H213">
        <v>0</v>
      </c>
      <c r="I213">
        <v>-2.2063820674171137</v>
      </c>
      <c r="J213">
        <v>0</v>
      </c>
      <c r="K213">
        <v>109.17385217745395</v>
      </c>
      <c r="L213">
        <v>-5.1496139710067244</v>
      </c>
      <c r="M213">
        <v>-27.669340408568054</v>
      </c>
      <c r="N213">
        <v>0</v>
      </c>
      <c r="O213">
        <v>0</v>
      </c>
    </row>
    <row r="214" spans="1:15" x14ac:dyDescent="0.3">
      <c r="A214">
        <v>212</v>
      </c>
      <c r="B214" s="20">
        <v>51440</v>
      </c>
      <c r="C214">
        <v>0</v>
      </c>
      <c r="D214">
        <v>0</v>
      </c>
      <c r="E214">
        <v>0</v>
      </c>
      <c r="F214">
        <v>33.426763860409643</v>
      </c>
      <c r="G214">
        <v>0</v>
      </c>
      <c r="H214">
        <v>0</v>
      </c>
      <c r="I214">
        <v>-1.5832475235508312</v>
      </c>
      <c r="J214">
        <v>0</v>
      </c>
      <c r="K214">
        <v>78.016827966072427</v>
      </c>
      <c r="L214">
        <v>-3.6952410406342486</v>
      </c>
      <c r="M214">
        <v>-17.062109148907581</v>
      </c>
      <c r="N214">
        <v>0</v>
      </c>
      <c r="O214">
        <v>0</v>
      </c>
    </row>
    <row r="215" spans="1:15" x14ac:dyDescent="0.3">
      <c r="A215">
        <v>213</v>
      </c>
      <c r="B215" s="20">
        <v>51470</v>
      </c>
      <c r="C215">
        <v>0</v>
      </c>
      <c r="D215">
        <v>0</v>
      </c>
      <c r="E215">
        <v>0</v>
      </c>
      <c r="F215">
        <v>20.01722883474369</v>
      </c>
      <c r="G215">
        <v>0</v>
      </c>
      <c r="H215">
        <v>0</v>
      </c>
      <c r="I215">
        <v>-0.95191652905670798</v>
      </c>
      <c r="J215">
        <v>0</v>
      </c>
      <c r="K215">
        <v>46.71947020894067</v>
      </c>
      <c r="L215">
        <v>-2.2217378982784921</v>
      </c>
      <c r="M215">
        <v>-6.4115944874206248</v>
      </c>
      <c r="N215">
        <v>0</v>
      </c>
      <c r="O215">
        <v>0</v>
      </c>
    </row>
    <row r="216" spans="1:15" x14ac:dyDescent="0.3">
      <c r="A216">
        <v>214</v>
      </c>
      <c r="B216" s="20">
        <v>51501</v>
      </c>
      <c r="C216">
        <v>0</v>
      </c>
      <c r="D216">
        <v>0</v>
      </c>
      <c r="E216">
        <v>0</v>
      </c>
      <c r="F216">
        <v>13.570873563313981</v>
      </c>
      <c r="G216">
        <v>0</v>
      </c>
      <c r="H216">
        <v>-30.485002610076947</v>
      </c>
      <c r="I216">
        <v>-0.64803902881994202</v>
      </c>
      <c r="J216">
        <v>0</v>
      </c>
      <c r="K216">
        <v>31.673915924370075</v>
      </c>
      <c r="L216">
        <v>-1.5124990752283516</v>
      </c>
      <c r="M216">
        <v>6.3293544732769629</v>
      </c>
      <c r="N216">
        <v>0</v>
      </c>
      <c r="O216">
        <v>0</v>
      </c>
    </row>
    <row r="217" spans="1:15" x14ac:dyDescent="0.3">
      <c r="A217">
        <v>215</v>
      </c>
      <c r="B217" s="20">
        <v>51532</v>
      </c>
      <c r="C217">
        <v>0</v>
      </c>
      <c r="D217">
        <v>0</v>
      </c>
      <c r="E217">
        <v>0</v>
      </c>
      <c r="F217">
        <v>14.020387296272975</v>
      </c>
      <c r="G217">
        <v>0</v>
      </c>
      <c r="H217">
        <v>0</v>
      </c>
      <c r="I217">
        <v>-0.67228251036542752</v>
      </c>
      <c r="J217">
        <v>0</v>
      </c>
      <c r="K217">
        <v>32.723064316930596</v>
      </c>
      <c r="L217">
        <v>-1.5690824626280795</v>
      </c>
      <c r="M217">
        <v>-1.6463549933858501</v>
      </c>
      <c r="N217">
        <v>0</v>
      </c>
      <c r="O217">
        <v>0</v>
      </c>
    </row>
    <row r="218" spans="1:15" x14ac:dyDescent="0.3">
      <c r="A218">
        <v>216</v>
      </c>
      <c r="B218" s="20">
        <v>51560</v>
      </c>
      <c r="C218">
        <v>0</v>
      </c>
      <c r="D218">
        <v>0</v>
      </c>
      <c r="E218">
        <v>0</v>
      </c>
      <c r="F218">
        <v>19.419839414662636</v>
      </c>
      <c r="G218">
        <v>0</v>
      </c>
      <c r="H218">
        <v>0</v>
      </c>
      <c r="I218">
        <v>-0.93467760710327541</v>
      </c>
      <c r="J218">
        <v>0</v>
      </c>
      <c r="K218">
        <v>45.325185443300654</v>
      </c>
      <c r="L218">
        <v>-2.1815028933591427</v>
      </c>
      <c r="M218">
        <v>-5.9280444227085525</v>
      </c>
      <c r="N218">
        <v>0</v>
      </c>
      <c r="O218">
        <v>0</v>
      </c>
    </row>
    <row r="219" spans="1:15" x14ac:dyDescent="0.3">
      <c r="A219">
        <v>217</v>
      </c>
      <c r="B219" s="20">
        <v>51591</v>
      </c>
      <c r="C219">
        <v>0</v>
      </c>
      <c r="D219">
        <v>0</v>
      </c>
      <c r="E219">
        <v>0</v>
      </c>
      <c r="F219">
        <v>34.069738912351347</v>
      </c>
      <c r="G219">
        <v>0</v>
      </c>
      <c r="H219">
        <v>0</v>
      </c>
      <c r="I219">
        <v>-1.6465823407120905</v>
      </c>
      <c r="J219">
        <v>0</v>
      </c>
      <c r="K219">
        <v>79.517507906951323</v>
      </c>
      <c r="L219">
        <v>-3.8430621565330836</v>
      </c>
      <c r="M219">
        <v>-17.54523391384771</v>
      </c>
      <c r="N219">
        <v>0</v>
      </c>
      <c r="O219">
        <v>0</v>
      </c>
    </row>
    <row r="220" spans="1:15" x14ac:dyDescent="0.3">
      <c r="A220">
        <v>218</v>
      </c>
      <c r="B220" s="20">
        <v>51621</v>
      </c>
      <c r="C220">
        <v>0</v>
      </c>
      <c r="D220">
        <v>0</v>
      </c>
      <c r="E220">
        <v>0</v>
      </c>
      <c r="F220">
        <v>47.332757224341357</v>
      </c>
      <c r="G220">
        <v>0</v>
      </c>
      <c r="H220">
        <v>0</v>
      </c>
      <c r="I220">
        <v>-2.2967666930640096</v>
      </c>
      <c r="J220">
        <v>0</v>
      </c>
      <c r="K220">
        <v>110.47290108465967</v>
      </c>
      <c r="L220">
        <v>-5.3605683373737154</v>
      </c>
      <c r="M220">
        <v>-28.057914152974156</v>
      </c>
      <c r="N220">
        <v>0</v>
      </c>
      <c r="O220">
        <v>0</v>
      </c>
    </row>
    <row r="221" spans="1:15" x14ac:dyDescent="0.3">
      <c r="A221">
        <v>219</v>
      </c>
      <c r="B221" s="20">
        <v>51652</v>
      </c>
      <c r="C221">
        <v>0</v>
      </c>
      <c r="D221">
        <v>0</v>
      </c>
      <c r="E221">
        <v>0</v>
      </c>
      <c r="F221">
        <v>61.6961094568709</v>
      </c>
      <c r="G221">
        <v>0</v>
      </c>
      <c r="H221">
        <v>0</v>
      </c>
      <c r="I221">
        <v>-3.0061545226392594</v>
      </c>
      <c r="J221">
        <v>0</v>
      </c>
      <c r="K221">
        <v>143.99643285162705</v>
      </c>
      <c r="L221">
        <v>-7.0162532398164208</v>
      </c>
      <c r="M221">
        <v>-39.438366969843898</v>
      </c>
      <c r="N221">
        <v>0</v>
      </c>
      <c r="O221">
        <v>0</v>
      </c>
    </row>
    <row r="222" spans="1:15" x14ac:dyDescent="0.3">
      <c r="A222">
        <v>220</v>
      </c>
      <c r="B222" s="20">
        <v>51682</v>
      </c>
      <c r="C222">
        <v>0</v>
      </c>
      <c r="D222">
        <v>0</v>
      </c>
      <c r="E222">
        <v>0</v>
      </c>
      <c r="F222">
        <v>66.790931397428906</v>
      </c>
      <c r="G222">
        <v>0</v>
      </c>
      <c r="H222">
        <v>0</v>
      </c>
      <c r="I222">
        <v>-3.2674688180210887</v>
      </c>
      <c r="J222">
        <v>0</v>
      </c>
      <c r="K222">
        <v>155.88755843333672</v>
      </c>
      <c r="L222">
        <v>-7.6261511202398902</v>
      </c>
      <c r="M222">
        <v>-43.467050806459497</v>
      </c>
      <c r="N222">
        <v>0</v>
      </c>
      <c r="O222">
        <v>0</v>
      </c>
    </row>
    <row r="223" spans="1:15" x14ac:dyDescent="0.3">
      <c r="A223">
        <v>221</v>
      </c>
      <c r="B223" s="20">
        <v>51713</v>
      </c>
      <c r="C223">
        <v>0</v>
      </c>
      <c r="D223">
        <v>0</v>
      </c>
      <c r="E223">
        <v>0</v>
      </c>
      <c r="F223">
        <v>68.839707915552765</v>
      </c>
      <c r="G223">
        <v>0</v>
      </c>
      <c r="H223">
        <v>0</v>
      </c>
      <c r="I223">
        <v>-3.3816714831073864</v>
      </c>
      <c r="J223">
        <v>0</v>
      </c>
      <c r="K223">
        <v>160.66932689357077</v>
      </c>
      <c r="L223">
        <v>-7.8926959078990189</v>
      </c>
      <c r="M223">
        <v>-45.079500187862614</v>
      </c>
      <c r="N223">
        <v>0</v>
      </c>
      <c r="O223">
        <v>0</v>
      </c>
    </row>
    <row r="224" spans="1:15" x14ac:dyDescent="0.3">
      <c r="A224">
        <v>222</v>
      </c>
      <c r="B224" s="20">
        <v>51744</v>
      </c>
      <c r="C224">
        <v>0</v>
      </c>
      <c r="D224">
        <v>0</v>
      </c>
      <c r="E224">
        <v>0</v>
      </c>
      <c r="F224">
        <v>61.093503060720906</v>
      </c>
      <c r="G224">
        <v>0</v>
      </c>
      <c r="H224">
        <v>0</v>
      </c>
      <c r="I224">
        <v>-3.0136018131240654</v>
      </c>
      <c r="J224">
        <v>0</v>
      </c>
      <c r="K224">
        <v>142.58997185719704</v>
      </c>
      <c r="L224">
        <v>-7.0336349397917113</v>
      </c>
      <c r="M224">
        <v>-38.929892874583878</v>
      </c>
      <c r="N224">
        <v>0</v>
      </c>
      <c r="O224">
        <v>0</v>
      </c>
    </row>
    <row r="225" spans="1:15" x14ac:dyDescent="0.3">
      <c r="A225">
        <v>223</v>
      </c>
      <c r="B225" s="20">
        <v>51774</v>
      </c>
      <c r="C225">
        <v>0</v>
      </c>
      <c r="D225">
        <v>0</v>
      </c>
      <c r="E225">
        <v>0</v>
      </c>
      <c r="F225">
        <v>46.542291301099191</v>
      </c>
      <c r="G225">
        <v>0</v>
      </c>
      <c r="H225">
        <v>0</v>
      </c>
      <c r="I225">
        <v>-2.3050429944820205</v>
      </c>
      <c r="J225">
        <v>0</v>
      </c>
      <c r="K225">
        <v>108.62798291656661</v>
      </c>
      <c r="L225">
        <v>-5.3798849181417712</v>
      </c>
      <c r="M225">
        <v>-27.392169909593836</v>
      </c>
      <c r="N225">
        <v>0</v>
      </c>
      <c r="O225">
        <v>0</v>
      </c>
    </row>
    <row r="226" spans="1:15" x14ac:dyDescent="0.3">
      <c r="A226">
        <v>224</v>
      </c>
      <c r="B226" s="20">
        <v>51805</v>
      </c>
      <c r="C226">
        <v>0</v>
      </c>
      <c r="D226">
        <v>0</v>
      </c>
      <c r="E226">
        <v>0</v>
      </c>
      <c r="F226">
        <v>33.25963004110757</v>
      </c>
      <c r="G226">
        <v>0</v>
      </c>
      <c r="H226">
        <v>0</v>
      </c>
      <c r="I226">
        <v>-1.6540442684815961</v>
      </c>
      <c r="J226">
        <v>0</v>
      </c>
      <c r="K226">
        <v>77.626743826242006</v>
      </c>
      <c r="L226">
        <v>-3.8604780193883648</v>
      </c>
      <c r="M226">
        <v>-16.863796228203238</v>
      </c>
      <c r="N226">
        <v>0</v>
      </c>
      <c r="O226">
        <v>0</v>
      </c>
    </row>
    <row r="227" spans="1:15" x14ac:dyDescent="0.3">
      <c r="A227">
        <v>225</v>
      </c>
      <c r="B227" s="20">
        <v>51835</v>
      </c>
      <c r="C227">
        <v>0</v>
      </c>
      <c r="D227">
        <v>0</v>
      </c>
      <c r="E227">
        <v>0</v>
      </c>
      <c r="F227">
        <v>19.91714269056996</v>
      </c>
      <c r="G227">
        <v>0</v>
      </c>
      <c r="H227">
        <v>0</v>
      </c>
      <c r="I227">
        <v>-0.99448257807970741</v>
      </c>
      <c r="J227">
        <v>0</v>
      </c>
      <c r="K227">
        <v>46.485872857895934</v>
      </c>
      <c r="L227">
        <v>-2.3210854790880107</v>
      </c>
      <c r="M227">
        <v>-6.2926952061578776</v>
      </c>
      <c r="N227">
        <v>0</v>
      </c>
      <c r="O227">
        <v>0</v>
      </c>
    </row>
    <row r="228" spans="1:15" x14ac:dyDescent="0.3">
      <c r="A228">
        <v>226</v>
      </c>
      <c r="B228" s="20">
        <v>51866</v>
      </c>
      <c r="C228">
        <v>0</v>
      </c>
      <c r="D228">
        <v>0</v>
      </c>
      <c r="E228">
        <v>0</v>
      </c>
      <c r="F228">
        <v>13.503019195497401</v>
      </c>
      <c r="G228">
        <v>0</v>
      </c>
      <c r="H228">
        <v>-32.00821585408822</v>
      </c>
      <c r="I228">
        <v>-0.67701684381481453</v>
      </c>
      <c r="J228">
        <v>0</v>
      </c>
      <c r="K228">
        <v>31.515546344748202</v>
      </c>
      <c r="L228">
        <v>-1.5801322214320515</v>
      </c>
      <c r="M228">
        <v>6.7908665114390363</v>
      </c>
      <c r="N228">
        <v>0</v>
      </c>
      <c r="O228">
        <v>0</v>
      </c>
    </row>
    <row r="229" spans="1:15" x14ac:dyDescent="0.3">
      <c r="A229">
        <v>227</v>
      </c>
      <c r="B229" s="20">
        <v>51897</v>
      </c>
      <c r="C229">
        <v>0</v>
      </c>
      <c r="D229">
        <v>0</v>
      </c>
      <c r="E229">
        <v>0</v>
      </c>
      <c r="F229">
        <v>13.9502853597916</v>
      </c>
      <c r="G229">
        <v>0</v>
      </c>
      <c r="H229">
        <v>0</v>
      </c>
      <c r="I229">
        <v>-0.7023444006888121</v>
      </c>
      <c r="J229">
        <v>0</v>
      </c>
      <c r="K229">
        <v>32.559448995345917</v>
      </c>
      <c r="L229">
        <v>-1.6392458004698331</v>
      </c>
      <c r="M229">
        <v>-1.562869371828052</v>
      </c>
      <c r="N229">
        <v>0</v>
      </c>
      <c r="O229">
        <v>0</v>
      </c>
    </row>
    <row r="230" spans="1:15" x14ac:dyDescent="0.3">
      <c r="A230">
        <v>228</v>
      </c>
      <c r="B230" s="20">
        <v>51925</v>
      </c>
      <c r="C230">
        <v>0</v>
      </c>
      <c r="D230">
        <v>0</v>
      </c>
      <c r="E230">
        <v>0</v>
      </c>
      <c r="F230">
        <v>19.32274021758931</v>
      </c>
      <c r="G230">
        <v>0</v>
      </c>
      <c r="H230">
        <v>0</v>
      </c>
      <c r="I230">
        <v>-0.97647279778462903</v>
      </c>
      <c r="J230">
        <v>0</v>
      </c>
      <c r="K230">
        <v>45.098559516084116</v>
      </c>
      <c r="L230">
        <v>-2.2790513193693061</v>
      </c>
      <c r="M230">
        <v>-5.8122772374632063</v>
      </c>
      <c r="N230">
        <v>0</v>
      </c>
      <c r="O230">
        <v>0</v>
      </c>
    </row>
    <row r="231" spans="1:15" x14ac:dyDescent="0.3">
      <c r="A231">
        <v>229</v>
      </c>
      <c r="B231" s="20">
        <v>51956</v>
      </c>
      <c r="C231">
        <v>0</v>
      </c>
      <c r="D231">
        <v>0</v>
      </c>
      <c r="E231">
        <v>0</v>
      </c>
      <c r="F231">
        <v>33.899390217789566</v>
      </c>
      <c r="G231">
        <v>0</v>
      </c>
      <c r="H231">
        <v>0</v>
      </c>
      <c r="I231">
        <v>-1.7202111752745168</v>
      </c>
      <c r="J231">
        <v>0</v>
      </c>
      <c r="K231">
        <v>79.119920367416512</v>
      </c>
      <c r="L231">
        <v>-4.0149091275227793</v>
      </c>
      <c r="M231">
        <v>-17.341880903935529</v>
      </c>
      <c r="N231">
        <v>0</v>
      </c>
      <c r="O231">
        <v>0</v>
      </c>
    </row>
    <row r="232" spans="1:15" x14ac:dyDescent="0.3">
      <c r="A232">
        <v>230</v>
      </c>
      <c r="B232" s="20">
        <v>51986</v>
      </c>
      <c r="C232">
        <v>0</v>
      </c>
      <c r="D232">
        <v>0</v>
      </c>
      <c r="E232">
        <v>0</v>
      </c>
      <c r="F232">
        <v>47.096093438219619</v>
      </c>
      <c r="G232">
        <v>0</v>
      </c>
      <c r="H232">
        <v>0</v>
      </c>
      <c r="I232">
        <v>-2.3994692732453129</v>
      </c>
      <c r="J232">
        <v>0</v>
      </c>
      <c r="K232">
        <v>109.92053657923631</v>
      </c>
      <c r="L232">
        <v>-5.6002723530880942</v>
      </c>
      <c r="M232">
        <v>-27.775055431113962</v>
      </c>
      <c r="N232">
        <v>0</v>
      </c>
      <c r="O232">
        <v>0</v>
      </c>
    </row>
    <row r="233" spans="1:15" x14ac:dyDescent="0.3">
      <c r="A233">
        <v>231</v>
      </c>
      <c r="B233" s="20">
        <v>52017</v>
      </c>
      <c r="C233">
        <v>0</v>
      </c>
      <c r="D233">
        <v>0</v>
      </c>
      <c r="E233">
        <v>0</v>
      </c>
      <c r="F233">
        <v>61.38762890958651</v>
      </c>
      <c r="G233">
        <v>0</v>
      </c>
      <c r="H233">
        <v>0</v>
      </c>
      <c r="I233">
        <v>-3.1405782004255602</v>
      </c>
      <c r="J233">
        <v>0</v>
      </c>
      <c r="K233">
        <v>143.27645068736885</v>
      </c>
      <c r="L233">
        <v>-7.3299931216732386</v>
      </c>
      <c r="M233">
        <v>-39.069210402047474</v>
      </c>
      <c r="N233">
        <v>0</v>
      </c>
      <c r="O233">
        <v>0</v>
      </c>
    </row>
    <row r="234" spans="1:15" x14ac:dyDescent="0.3">
      <c r="A234">
        <v>232</v>
      </c>
      <c r="B234" s="20">
        <v>52047</v>
      </c>
      <c r="C234">
        <v>0</v>
      </c>
      <c r="D234">
        <v>0</v>
      </c>
      <c r="E234">
        <v>0</v>
      </c>
      <c r="F234">
        <v>66.456976740441732</v>
      </c>
      <c r="G234">
        <v>0</v>
      </c>
      <c r="H234">
        <v>0</v>
      </c>
      <c r="I234">
        <v>-3.4135774668821712</v>
      </c>
      <c r="J234">
        <v>0</v>
      </c>
      <c r="K234">
        <v>155.10812064116996</v>
      </c>
      <c r="L234">
        <v>-7.9671632915093671</v>
      </c>
      <c r="M234">
        <v>-43.066922489138371</v>
      </c>
      <c r="N234">
        <v>0</v>
      </c>
      <c r="O234">
        <v>0</v>
      </c>
    </row>
    <row r="235" spans="1:15" x14ac:dyDescent="0.3">
      <c r="A235">
        <v>233</v>
      </c>
      <c r="B235" s="20">
        <v>52078</v>
      </c>
      <c r="C235">
        <v>0</v>
      </c>
      <c r="D235">
        <v>0</v>
      </c>
      <c r="E235">
        <v>0</v>
      </c>
      <c r="F235">
        <v>68.49550937597499</v>
      </c>
      <c r="G235">
        <v>0</v>
      </c>
      <c r="H235">
        <v>0</v>
      </c>
      <c r="I235">
        <v>-3.5328868362773433</v>
      </c>
      <c r="J235">
        <v>0</v>
      </c>
      <c r="K235">
        <v>159.86598025910288</v>
      </c>
      <c r="L235">
        <v>-8.2456269377574607</v>
      </c>
      <c r="M235">
        <v>-44.666577298594099</v>
      </c>
      <c r="N235">
        <v>0</v>
      </c>
      <c r="O235">
        <v>0</v>
      </c>
    </row>
    <row r="236" spans="1:15" x14ac:dyDescent="0.3">
      <c r="A236">
        <v>234</v>
      </c>
      <c r="B236" s="20">
        <v>52109</v>
      </c>
      <c r="C236">
        <v>0</v>
      </c>
      <c r="D236">
        <v>0</v>
      </c>
      <c r="E236">
        <v>0</v>
      </c>
      <c r="F236">
        <v>60.78803554541728</v>
      </c>
      <c r="G236">
        <v>0</v>
      </c>
      <c r="H236">
        <v>0</v>
      </c>
      <c r="I236">
        <v>-3.1483585051213709</v>
      </c>
      <c r="J236">
        <v>0</v>
      </c>
      <c r="K236">
        <v>141.87702199791102</v>
      </c>
      <c r="L236">
        <v>-7.3481520644746263</v>
      </c>
      <c r="M236">
        <v>-38.562970076766412</v>
      </c>
      <c r="N236">
        <v>0</v>
      </c>
      <c r="O236">
        <v>0</v>
      </c>
    </row>
    <row r="237" spans="1:15" x14ac:dyDescent="0.3">
      <c r="A237">
        <v>235</v>
      </c>
      <c r="B237" s="20">
        <v>52139</v>
      </c>
      <c r="C237">
        <v>0</v>
      </c>
      <c r="D237">
        <v>0</v>
      </c>
      <c r="E237">
        <v>0</v>
      </c>
      <c r="F237">
        <v>46.309579844593678</v>
      </c>
      <c r="G237">
        <v>0</v>
      </c>
      <c r="H237">
        <v>0</v>
      </c>
      <c r="I237">
        <v>-2.4081156590574229</v>
      </c>
      <c r="J237">
        <v>0</v>
      </c>
      <c r="K237">
        <v>108.08484300198374</v>
      </c>
      <c r="L237">
        <v>-5.6204526971156739</v>
      </c>
      <c r="M237">
        <v>-27.112296955934418</v>
      </c>
      <c r="N237">
        <v>0</v>
      </c>
      <c r="O237">
        <v>0</v>
      </c>
    </row>
    <row r="238" spans="1:15" x14ac:dyDescent="0.3">
      <c r="A238">
        <v>236</v>
      </c>
      <c r="B238" s="20">
        <v>52170</v>
      </c>
      <c r="C238">
        <v>0</v>
      </c>
      <c r="D238">
        <v>0</v>
      </c>
      <c r="E238">
        <v>0</v>
      </c>
      <c r="F238">
        <v>33.093331890902022</v>
      </c>
      <c r="G238">
        <v>0</v>
      </c>
      <c r="H238">
        <v>0</v>
      </c>
      <c r="I238">
        <v>-1.7280067717781482</v>
      </c>
      <c r="J238">
        <v>0</v>
      </c>
      <c r="K238">
        <v>77.238610107110773</v>
      </c>
      <c r="L238">
        <v>-4.0331037608368661</v>
      </c>
      <c r="M238">
        <v>-16.663541199682779</v>
      </c>
      <c r="N238">
        <v>0</v>
      </c>
      <c r="O238">
        <v>0</v>
      </c>
    </row>
    <row r="239" spans="1:15" x14ac:dyDescent="0.3">
      <c r="A239">
        <v>237</v>
      </c>
      <c r="B239" s="20">
        <v>52200</v>
      </c>
      <c r="C239">
        <v>0</v>
      </c>
      <c r="D239">
        <v>0</v>
      </c>
      <c r="E239">
        <v>0</v>
      </c>
      <c r="F239">
        <v>19.817556977117107</v>
      </c>
      <c r="G239">
        <v>0</v>
      </c>
      <c r="H239">
        <v>0</v>
      </c>
      <c r="I239">
        <v>-1.0389520172363185</v>
      </c>
      <c r="J239">
        <v>0</v>
      </c>
      <c r="K239">
        <v>46.253443493606447</v>
      </c>
      <c r="L239">
        <v>-2.4248755019247157</v>
      </c>
      <c r="M239">
        <v>-6.1726265712239634</v>
      </c>
      <c r="N239">
        <v>0</v>
      </c>
      <c r="O239">
        <v>0</v>
      </c>
    </row>
    <row r="240" spans="1:15" x14ac:dyDescent="0.3">
      <c r="A240">
        <v>238</v>
      </c>
      <c r="B240" s="20">
        <v>52231</v>
      </c>
      <c r="C240">
        <v>0</v>
      </c>
      <c r="D240">
        <v>0</v>
      </c>
      <c r="E240">
        <v>0</v>
      </c>
      <c r="F240">
        <v>13.435504099519912</v>
      </c>
      <c r="G240">
        <v>0</v>
      </c>
      <c r="H240">
        <v>-33.60753795124306</v>
      </c>
      <c r="I240">
        <v>-0.70729043533630509</v>
      </c>
      <c r="J240">
        <v>0</v>
      </c>
      <c r="K240">
        <v>31.357968613024454</v>
      </c>
      <c r="L240">
        <v>-1.650789662023979</v>
      </c>
      <c r="M240">
        <v>7.2722030006814107</v>
      </c>
      <c r="N240">
        <v>0</v>
      </c>
      <c r="O240">
        <v>0</v>
      </c>
    </row>
    <row r="241" spans="1:15" x14ac:dyDescent="0.3">
      <c r="A241">
        <v>239</v>
      </c>
      <c r="B241" s="20">
        <v>52262</v>
      </c>
      <c r="C241">
        <v>0</v>
      </c>
      <c r="D241">
        <v>0</v>
      </c>
      <c r="E241">
        <v>0</v>
      </c>
      <c r="F241">
        <v>13.880533932992638</v>
      </c>
      <c r="G241">
        <v>0</v>
      </c>
      <c r="H241">
        <v>0</v>
      </c>
      <c r="I241">
        <v>-0.73375054322147126</v>
      </c>
      <c r="J241">
        <v>0</v>
      </c>
      <c r="K241">
        <v>32.39665175036918</v>
      </c>
      <c r="L241">
        <v>-1.7125465731464973</v>
      </c>
      <c r="M241">
        <v>-1.4785554750817962</v>
      </c>
      <c r="N241">
        <v>0</v>
      </c>
      <c r="O241">
        <v>0</v>
      </c>
    </row>
    <row r="242" spans="1:15" x14ac:dyDescent="0.3">
      <c r="A242">
        <v>240</v>
      </c>
      <c r="B242" s="20">
        <v>52290</v>
      </c>
      <c r="C242">
        <v>0</v>
      </c>
      <c r="D242">
        <v>0</v>
      </c>
      <c r="E242">
        <v>0</v>
      </c>
      <c r="F242">
        <v>19.22612651650136</v>
      </c>
      <c r="G242">
        <v>0</v>
      </c>
      <c r="H242">
        <v>0</v>
      </c>
      <c r="I242">
        <v>-1.0201369087769177</v>
      </c>
      <c r="J242">
        <v>0</v>
      </c>
      <c r="K242">
        <v>44.873066718503686</v>
      </c>
      <c r="L242">
        <v>-2.3809617361180697</v>
      </c>
      <c r="M242">
        <v>-5.695356980860848</v>
      </c>
      <c r="N242">
        <v>0</v>
      </c>
      <c r="O242">
        <v>0</v>
      </c>
    </row>
    <row r="243" spans="1:15" x14ac:dyDescent="0.3">
      <c r="A243">
        <v>241</v>
      </c>
      <c r="B243" s="20">
        <v>52321</v>
      </c>
      <c r="C243">
        <v>0</v>
      </c>
      <c r="D243">
        <v>0</v>
      </c>
      <c r="E243">
        <v>0</v>
      </c>
      <c r="F243">
        <v>33.729893266700614</v>
      </c>
      <c r="G243">
        <v>0</v>
      </c>
      <c r="H243">
        <v>0</v>
      </c>
      <c r="I243">
        <v>-1.7971324083675135</v>
      </c>
      <c r="J243">
        <v>0</v>
      </c>
      <c r="K243">
        <v>78.724320765579407</v>
      </c>
      <c r="L243">
        <v>-4.1944404346578423</v>
      </c>
      <c r="M243">
        <v>-17.136493630647003</v>
      </c>
      <c r="N243">
        <v>0</v>
      </c>
      <c r="O243">
        <v>0</v>
      </c>
    </row>
    <row r="244" spans="1:15" x14ac:dyDescent="0.3">
      <c r="A244">
        <v>242</v>
      </c>
      <c r="B244" s="20">
        <v>52351</v>
      </c>
      <c r="C244">
        <v>0</v>
      </c>
      <c r="D244">
        <v>0</v>
      </c>
      <c r="E244">
        <v>0</v>
      </c>
      <c r="F244">
        <v>46.860612971028509</v>
      </c>
      <c r="G244">
        <v>0</v>
      </c>
      <c r="H244">
        <v>0</v>
      </c>
      <c r="I244">
        <v>-2.5067643181326535</v>
      </c>
      <c r="J244">
        <v>0</v>
      </c>
      <c r="K244">
        <v>109.37093389634009</v>
      </c>
      <c r="L244">
        <v>-5.850695011217498</v>
      </c>
      <c r="M244">
        <v>-27.489355217837947</v>
      </c>
      <c r="N244">
        <v>0</v>
      </c>
      <c r="O244">
        <v>0</v>
      </c>
    </row>
    <row r="245" spans="1:15" x14ac:dyDescent="0.3">
      <c r="A245">
        <v>243</v>
      </c>
      <c r="B245" s="20">
        <v>52382</v>
      </c>
      <c r="C245">
        <v>0</v>
      </c>
      <c r="D245">
        <v>0</v>
      </c>
      <c r="E245">
        <v>0</v>
      </c>
      <c r="F245">
        <v>61.080690765038554</v>
      </c>
      <c r="G245">
        <v>0</v>
      </c>
      <c r="H245">
        <v>0</v>
      </c>
      <c r="I245">
        <v>-3.2810127885005769</v>
      </c>
      <c r="J245">
        <v>0</v>
      </c>
      <c r="K245">
        <v>142.56006843393192</v>
      </c>
      <c r="L245">
        <v>-7.6577622453637089</v>
      </c>
      <c r="M245">
        <v>-38.696329374609881</v>
      </c>
      <c r="N245">
        <v>0</v>
      </c>
      <c r="O245">
        <v>0</v>
      </c>
    </row>
    <row r="246" spans="1:15" x14ac:dyDescent="0.3">
      <c r="A246">
        <v>244</v>
      </c>
      <c r="B246" s="20">
        <v>52412</v>
      </c>
      <c r="C246">
        <v>0</v>
      </c>
      <c r="D246">
        <v>0</v>
      </c>
      <c r="E246">
        <v>0</v>
      </c>
      <c r="F246">
        <v>66.124691856739489</v>
      </c>
      <c r="G246">
        <v>0</v>
      </c>
      <c r="H246">
        <v>0</v>
      </c>
      <c r="I246">
        <v>-3.5662195330338102</v>
      </c>
      <c r="J246">
        <v>0</v>
      </c>
      <c r="K246">
        <v>154.33258003796405</v>
      </c>
      <c r="L246">
        <v>-8.3234242165893093</v>
      </c>
      <c r="M246">
        <v>-42.662740369603441</v>
      </c>
      <c r="N246">
        <v>0</v>
      </c>
      <c r="O246">
        <v>0</v>
      </c>
    </row>
    <row r="247" spans="1:15" x14ac:dyDescent="0.3">
      <c r="A247">
        <v>245</v>
      </c>
      <c r="B247" s="20">
        <v>52443</v>
      </c>
      <c r="C247">
        <v>0</v>
      </c>
      <c r="D247">
        <v>0</v>
      </c>
      <c r="E247">
        <v>0</v>
      </c>
      <c r="F247">
        <v>68.153031829095085</v>
      </c>
      <c r="G247">
        <v>0</v>
      </c>
      <c r="H247">
        <v>0</v>
      </c>
      <c r="I247">
        <v>-3.6908639589297989</v>
      </c>
      <c r="J247">
        <v>0</v>
      </c>
      <c r="K247">
        <v>159.06665035780728</v>
      </c>
      <c r="L247">
        <v>-8.6143396869790259</v>
      </c>
      <c r="M247">
        <v>-44.249452968581714</v>
      </c>
      <c r="N247">
        <v>0</v>
      </c>
      <c r="O247">
        <v>0</v>
      </c>
    </row>
    <row r="248" spans="1:15" x14ac:dyDescent="0.3">
      <c r="A248">
        <v>246</v>
      </c>
      <c r="B248" s="20">
        <v>52474</v>
      </c>
      <c r="C248">
        <v>0</v>
      </c>
      <c r="D248">
        <v>0</v>
      </c>
      <c r="E248">
        <v>0</v>
      </c>
      <c r="F248">
        <v>60.484095367690166</v>
      </c>
      <c r="G248">
        <v>0</v>
      </c>
      <c r="H248">
        <v>0</v>
      </c>
      <c r="I248">
        <v>-3.2891409985231537</v>
      </c>
      <c r="J248">
        <v>0</v>
      </c>
      <c r="K248">
        <v>141.16763688792139</v>
      </c>
      <c r="L248">
        <v>-7.6767331863034807</v>
      </c>
      <c r="M248">
        <v>-38.192297851029558</v>
      </c>
      <c r="N248">
        <v>0</v>
      </c>
      <c r="O248">
        <v>0</v>
      </c>
    </row>
    <row r="249" spans="1:15" x14ac:dyDescent="0.3">
      <c r="A249">
        <v>247</v>
      </c>
      <c r="B249" s="20">
        <v>52504</v>
      </c>
      <c r="C249">
        <v>0</v>
      </c>
      <c r="D249">
        <v>0</v>
      </c>
      <c r="E249">
        <v>0</v>
      </c>
      <c r="F249">
        <v>46.078031945370689</v>
      </c>
      <c r="G249">
        <v>0</v>
      </c>
      <c r="H249">
        <v>0</v>
      </c>
      <c r="I249">
        <v>-2.5157973370907545</v>
      </c>
      <c r="J249">
        <v>0</v>
      </c>
      <c r="K249">
        <v>107.54441878697378</v>
      </c>
      <c r="L249">
        <v>-5.8717777426781756</v>
      </c>
      <c r="M249">
        <v>-26.829552246477217</v>
      </c>
      <c r="N249">
        <v>0</v>
      </c>
      <c r="O249">
        <v>0</v>
      </c>
    </row>
    <row r="250" spans="1:15" x14ac:dyDescent="0.3">
      <c r="A250">
        <v>248</v>
      </c>
      <c r="B250" s="20">
        <v>52535</v>
      </c>
      <c r="C250">
        <v>0</v>
      </c>
      <c r="D250">
        <v>0</v>
      </c>
      <c r="E250">
        <v>0</v>
      </c>
      <c r="F250">
        <v>32.927865231447491</v>
      </c>
      <c r="G250">
        <v>0</v>
      </c>
      <c r="H250">
        <v>0</v>
      </c>
      <c r="I250">
        <v>-1.80527659398879</v>
      </c>
      <c r="J250">
        <v>0</v>
      </c>
      <c r="K250">
        <v>76.852417056575177</v>
      </c>
      <c r="L250">
        <v>-4.2134486620528824</v>
      </c>
      <c r="M250">
        <v>-16.461222591328582</v>
      </c>
      <c r="N250">
        <v>0</v>
      </c>
      <c r="O250">
        <v>0</v>
      </c>
    </row>
    <row r="251" spans="1:15" x14ac:dyDescent="0.3">
      <c r="A251">
        <v>249</v>
      </c>
      <c r="B251" s="20">
        <v>52565</v>
      </c>
      <c r="C251">
        <v>0</v>
      </c>
      <c r="D251">
        <v>0</v>
      </c>
      <c r="E251">
        <v>0</v>
      </c>
      <c r="F251">
        <v>19.71846919223151</v>
      </c>
      <c r="G251">
        <v>0</v>
      </c>
      <c r="H251">
        <v>0</v>
      </c>
      <c r="I251">
        <v>-1.0854099588187056</v>
      </c>
      <c r="J251">
        <v>0</v>
      </c>
      <c r="K251">
        <v>46.022176276138389</v>
      </c>
      <c r="L251">
        <v>-2.5333066157240314</v>
      </c>
      <c r="M251">
        <v>-6.051315556790124</v>
      </c>
      <c r="N251">
        <v>0</v>
      </c>
      <c r="O251">
        <v>0</v>
      </c>
    </row>
    <row r="252" spans="1:15" x14ac:dyDescent="0.3">
      <c r="A252">
        <v>250</v>
      </c>
      <c r="B252" s="20">
        <v>52596</v>
      </c>
      <c r="C252">
        <v>0</v>
      </c>
      <c r="D252">
        <v>0</v>
      </c>
      <c r="E252">
        <v>0</v>
      </c>
      <c r="F252">
        <v>13.368326579022305</v>
      </c>
      <c r="G252">
        <v>0</v>
      </c>
      <c r="H252">
        <v>-35.286771755507957</v>
      </c>
      <c r="I252">
        <v>-0.73891774553109435</v>
      </c>
      <c r="J252">
        <v>0</v>
      </c>
      <c r="K252">
        <v>31.201178769959316</v>
      </c>
      <c r="L252">
        <v>-1.7246066318269972</v>
      </c>
      <c r="M252">
        <v>7.7743643626377743</v>
      </c>
      <c r="N252">
        <v>0</v>
      </c>
      <c r="O252">
        <v>0</v>
      </c>
    </row>
    <row r="253" spans="1:15" x14ac:dyDescent="0.3">
      <c r="A253">
        <v>251</v>
      </c>
      <c r="B253" s="20">
        <v>52627</v>
      </c>
      <c r="C253">
        <v>0</v>
      </c>
      <c r="D253">
        <v>0</v>
      </c>
      <c r="E253">
        <v>0</v>
      </c>
      <c r="F253">
        <v>13.277984360078603</v>
      </c>
      <c r="G253">
        <v>0</v>
      </c>
      <c r="H253">
        <v>0</v>
      </c>
      <c r="I253">
        <v>-0.73696972457139365</v>
      </c>
      <c r="J253">
        <v>0</v>
      </c>
      <c r="K253">
        <v>30.990323379265877</v>
      </c>
      <c r="L253">
        <v>-1.7200600231058556</v>
      </c>
      <c r="M253">
        <v>-0.9736528312501419</v>
      </c>
      <c r="N253">
        <v>0</v>
      </c>
      <c r="O253">
        <v>0</v>
      </c>
    </row>
    <row r="254" spans="1:15" x14ac:dyDescent="0.3">
      <c r="A254">
        <v>252</v>
      </c>
      <c r="B254" s="20">
        <v>52656</v>
      </c>
      <c r="C254">
        <v>0</v>
      </c>
      <c r="D254">
        <v>0</v>
      </c>
      <c r="E254">
        <v>0</v>
      </c>
      <c r="F254">
        <v>19.662920131911463</v>
      </c>
      <c r="G254">
        <v>0</v>
      </c>
      <c r="H254">
        <v>0</v>
      </c>
      <c r="I254">
        <v>-1.095589660460222</v>
      </c>
      <c r="J254">
        <v>0</v>
      </c>
      <c r="K254">
        <v>45.892526828146238</v>
      </c>
      <c r="L254">
        <v>-2.5570656620687107</v>
      </c>
      <c r="M254">
        <v>-5.9965312427155268</v>
      </c>
      <c r="N254">
        <v>0</v>
      </c>
      <c r="O254">
        <v>0</v>
      </c>
    </row>
    <row r="255" spans="1:15" x14ac:dyDescent="0.3">
      <c r="A255">
        <v>253</v>
      </c>
      <c r="B255" s="20">
        <v>52687</v>
      </c>
      <c r="C255">
        <v>0</v>
      </c>
      <c r="D255">
        <v>0</v>
      </c>
      <c r="E255">
        <v>0</v>
      </c>
      <c r="F255">
        <v>33.561243800367095</v>
      </c>
      <c r="G255">
        <v>0</v>
      </c>
      <c r="H255">
        <v>0</v>
      </c>
      <c r="I255">
        <v>-1.8777440812085926</v>
      </c>
      <c r="J255">
        <v>0</v>
      </c>
      <c r="K255">
        <v>78.330699161751483</v>
      </c>
      <c r="L255">
        <v>-4.3825850913874911</v>
      </c>
      <c r="M255">
        <v>-16.928736780713955</v>
      </c>
      <c r="N255">
        <v>0</v>
      </c>
      <c r="O255">
        <v>0</v>
      </c>
    </row>
    <row r="256" spans="1:15" x14ac:dyDescent="0.3">
      <c r="A256">
        <v>254</v>
      </c>
      <c r="B256" s="20">
        <v>52717</v>
      </c>
      <c r="C256">
        <v>0</v>
      </c>
      <c r="D256">
        <v>0</v>
      </c>
      <c r="E256">
        <v>0</v>
      </c>
      <c r="F256">
        <v>46.626309906173347</v>
      </c>
      <c r="G256">
        <v>0</v>
      </c>
      <c r="H256">
        <v>0</v>
      </c>
      <c r="I256">
        <v>-2.6192070430883301</v>
      </c>
      <c r="J256">
        <v>0</v>
      </c>
      <c r="K256">
        <v>108.82407922685836</v>
      </c>
      <c r="L256">
        <v>-6.1131321638397855</v>
      </c>
      <c r="M256">
        <v>-27.200345814859233</v>
      </c>
      <c r="N256">
        <v>0</v>
      </c>
      <c r="O256">
        <v>0</v>
      </c>
    </row>
    <row r="257" spans="1:15" x14ac:dyDescent="0.3">
      <c r="A257">
        <v>255</v>
      </c>
      <c r="B257" s="20">
        <v>52748</v>
      </c>
      <c r="C257">
        <v>0</v>
      </c>
      <c r="D257">
        <v>0</v>
      </c>
      <c r="E257">
        <v>0</v>
      </c>
      <c r="F257">
        <v>60.77528731121334</v>
      </c>
      <c r="G257">
        <v>0</v>
      </c>
      <c r="H257">
        <v>0</v>
      </c>
      <c r="I257">
        <v>-3.4281849880906243</v>
      </c>
      <c r="J257">
        <v>0</v>
      </c>
      <c r="K257">
        <v>141.84726809176223</v>
      </c>
      <c r="L257">
        <v>-8.0012567046165923</v>
      </c>
      <c r="M257">
        <v>-38.319111760900419</v>
      </c>
      <c r="N257">
        <v>0</v>
      </c>
      <c r="O257">
        <v>0</v>
      </c>
    </row>
    <row r="258" spans="1:15" x14ac:dyDescent="0.3">
      <c r="A258">
        <v>256</v>
      </c>
      <c r="B258" s="20">
        <v>52778</v>
      </c>
      <c r="C258">
        <v>0</v>
      </c>
      <c r="D258">
        <v>0</v>
      </c>
      <c r="E258">
        <v>0</v>
      </c>
      <c r="F258">
        <v>65.79406839745576</v>
      </c>
      <c r="G258">
        <v>0</v>
      </c>
      <c r="H258">
        <v>0</v>
      </c>
      <c r="I258">
        <v>-3.7261848872491572</v>
      </c>
      <c r="J258">
        <v>0</v>
      </c>
      <c r="K258">
        <v>153.56091713777417</v>
      </c>
      <c r="L258">
        <v>-8.6967774245895537</v>
      </c>
      <c r="M258">
        <v>-42.253839139181139</v>
      </c>
      <c r="N258">
        <v>0</v>
      </c>
      <c r="O258">
        <v>0</v>
      </c>
    </row>
    <row r="259" spans="1:15" x14ac:dyDescent="0.3">
      <c r="A259">
        <v>257</v>
      </c>
      <c r="B259" s="20">
        <v>52809</v>
      </c>
      <c r="C259">
        <v>0</v>
      </c>
      <c r="D259">
        <v>0</v>
      </c>
      <c r="E259">
        <v>0</v>
      </c>
      <c r="F259">
        <v>67.812266669949565</v>
      </c>
      <c r="G259">
        <v>0</v>
      </c>
      <c r="H259">
        <v>0</v>
      </c>
      <c r="I259">
        <v>-3.8564203289406462</v>
      </c>
      <c r="J259">
        <v>0</v>
      </c>
      <c r="K259">
        <v>158.27131710601816</v>
      </c>
      <c r="L259">
        <v>-9.000742118628164</v>
      </c>
      <c r="M259">
        <v>-43.827438665433064</v>
      </c>
      <c r="N259">
        <v>0</v>
      </c>
      <c r="O259">
        <v>0</v>
      </c>
    </row>
    <row r="260" spans="1:15" x14ac:dyDescent="0.3">
      <c r="A260">
        <v>258</v>
      </c>
      <c r="B260" s="20">
        <v>52840</v>
      </c>
      <c r="C260">
        <v>0</v>
      </c>
      <c r="D260">
        <v>0</v>
      </c>
      <c r="E260">
        <v>0</v>
      </c>
      <c r="F260">
        <v>60.181674890851703</v>
      </c>
      <c r="G260">
        <v>0</v>
      </c>
      <c r="H260">
        <v>0</v>
      </c>
      <c r="I260">
        <v>-3.4366777948474612</v>
      </c>
      <c r="J260">
        <v>0</v>
      </c>
      <c r="K260">
        <v>140.46179870348175</v>
      </c>
      <c r="L260">
        <v>-8.0210786008212089</v>
      </c>
      <c r="M260">
        <v>-37.81726263299953</v>
      </c>
      <c r="N260">
        <v>0</v>
      </c>
      <c r="O260">
        <v>0</v>
      </c>
    </row>
    <row r="261" spans="1:15" x14ac:dyDescent="0.3">
      <c r="A261">
        <v>259</v>
      </c>
      <c r="B261" s="20">
        <v>52870</v>
      </c>
      <c r="C261">
        <v>0</v>
      </c>
      <c r="D261">
        <v>0</v>
      </c>
      <c r="E261">
        <v>0</v>
      </c>
      <c r="F261">
        <v>45.847641785643823</v>
      </c>
      <c r="G261">
        <v>0</v>
      </c>
      <c r="H261">
        <v>0</v>
      </c>
      <c r="I261">
        <v>-2.6286452446393374</v>
      </c>
      <c r="J261">
        <v>0</v>
      </c>
      <c r="K261">
        <v>107.00669669303886</v>
      </c>
      <c r="L261">
        <v>-6.1351605764551662</v>
      </c>
      <c r="M261">
        <v>-26.543466497730382</v>
      </c>
      <c r="N261">
        <v>0</v>
      </c>
      <c r="O261">
        <v>0</v>
      </c>
    </row>
    <row r="262" spans="1:15" x14ac:dyDescent="0.3">
      <c r="A262">
        <v>260</v>
      </c>
      <c r="B262" s="20">
        <v>52901</v>
      </c>
      <c r="C262">
        <v>0</v>
      </c>
      <c r="D262">
        <v>0</v>
      </c>
      <c r="E262">
        <v>0</v>
      </c>
      <c r="F262">
        <v>32.763225905290248</v>
      </c>
      <c r="G262">
        <v>0</v>
      </c>
      <c r="H262">
        <v>0</v>
      </c>
      <c r="I262">
        <v>-1.8862535801611542</v>
      </c>
      <c r="J262">
        <v>0</v>
      </c>
      <c r="K262">
        <v>76.468154971292279</v>
      </c>
      <c r="L262">
        <v>-4.4024459465582719</v>
      </c>
      <c r="M262">
        <v>-16.256503670799109</v>
      </c>
      <c r="N262">
        <v>0</v>
      </c>
      <c r="O262">
        <v>0</v>
      </c>
    </row>
    <row r="263" spans="1:15" x14ac:dyDescent="0.3">
      <c r="A263">
        <v>261</v>
      </c>
      <c r="B263" s="20">
        <v>52931</v>
      </c>
      <c r="C263">
        <v>0</v>
      </c>
      <c r="D263">
        <v>0</v>
      </c>
      <c r="E263">
        <v>0</v>
      </c>
      <c r="F263">
        <v>19.619876846270344</v>
      </c>
      <c r="G263">
        <v>0</v>
      </c>
      <c r="H263">
        <v>0</v>
      </c>
      <c r="I263">
        <v>-1.1340968068725026</v>
      </c>
      <c r="J263">
        <v>0</v>
      </c>
      <c r="K263">
        <v>45.792065394757678</v>
      </c>
      <c r="L263">
        <v>-2.6469399146184589</v>
      </c>
      <c r="M263">
        <v>-5.9285597132175987</v>
      </c>
      <c r="N263">
        <v>0</v>
      </c>
      <c r="O263">
        <v>0</v>
      </c>
    </row>
    <row r="264" spans="1:15" x14ac:dyDescent="0.3">
      <c r="A264">
        <v>262</v>
      </c>
      <c r="B264" s="20">
        <v>52962</v>
      </c>
      <c r="C264">
        <v>0</v>
      </c>
      <c r="D264">
        <v>0</v>
      </c>
      <c r="E264">
        <v>0</v>
      </c>
      <c r="F264">
        <v>13.301484946127189</v>
      </c>
      <c r="G264">
        <v>0</v>
      </c>
      <c r="H264">
        <v>-37.054859700421801</v>
      </c>
      <c r="I264">
        <v>-0.77206243497182914</v>
      </c>
      <c r="J264">
        <v>0</v>
      </c>
      <c r="K264">
        <v>31.045172876109511</v>
      </c>
      <c r="L264">
        <v>-1.8019651085519712</v>
      </c>
      <c r="M264">
        <v>8.2997240220938906</v>
      </c>
      <c r="N264">
        <v>0</v>
      </c>
      <c r="O264">
        <v>0</v>
      </c>
    </row>
    <row r="265" spans="1:15" x14ac:dyDescent="0.3">
      <c r="A265">
        <v>263</v>
      </c>
      <c r="B265" s="20">
        <v>52993</v>
      </c>
      <c r="C265">
        <v>0</v>
      </c>
      <c r="D265">
        <v>0</v>
      </c>
      <c r="E265">
        <v>0</v>
      </c>
      <c r="F265">
        <v>13.742075607011026</v>
      </c>
      <c r="G265">
        <v>0</v>
      </c>
      <c r="H265">
        <v>0</v>
      </c>
      <c r="I265">
        <v>-0.80094569749428224</v>
      </c>
      <c r="J265">
        <v>0</v>
      </c>
      <c r="K265">
        <v>32.073495149159228</v>
      </c>
      <c r="L265">
        <v>-1.8693775727894093</v>
      </c>
      <c r="M265">
        <v>-1.3071452048049745</v>
      </c>
      <c r="N265">
        <v>0</v>
      </c>
      <c r="O265">
        <v>0</v>
      </c>
    </row>
    <row r="266" spans="1:15" x14ac:dyDescent="0.3">
      <c r="A266">
        <v>264</v>
      </c>
      <c r="B266" s="20">
        <v>53021</v>
      </c>
      <c r="C266">
        <v>0</v>
      </c>
      <c r="D266">
        <v>0</v>
      </c>
      <c r="E266">
        <v>0</v>
      </c>
      <c r="F266">
        <v>19.034345904499244</v>
      </c>
      <c r="G266">
        <v>0</v>
      </c>
      <c r="H266">
        <v>0</v>
      </c>
      <c r="I266">
        <v>-1.1135586548974699</v>
      </c>
      <c r="J266">
        <v>0</v>
      </c>
      <c r="K266">
        <v>44.425457877986581</v>
      </c>
      <c r="L266">
        <v>-2.5990046291068709</v>
      </c>
      <c r="M266">
        <v>-5.4576434579537043</v>
      </c>
      <c r="N266">
        <v>0</v>
      </c>
      <c r="O266">
        <v>0</v>
      </c>
    </row>
    <row r="267" spans="1:15" x14ac:dyDescent="0.3">
      <c r="A267">
        <v>265</v>
      </c>
      <c r="B267" s="20">
        <v>53052</v>
      </c>
      <c r="C267">
        <v>0</v>
      </c>
      <c r="D267">
        <v>0</v>
      </c>
      <c r="E267">
        <v>0</v>
      </c>
      <c r="F267">
        <v>33.393437581365248</v>
      </c>
      <c r="G267">
        <v>0</v>
      </c>
      <c r="H267">
        <v>0</v>
      </c>
      <c r="I267">
        <v>-1.9617095804657345</v>
      </c>
      <c r="J267">
        <v>0</v>
      </c>
      <c r="K267">
        <v>77.9390456659427</v>
      </c>
      <c r="L267">
        <v>-4.5785574546705687</v>
      </c>
      <c r="M267">
        <v>-16.718887386376245</v>
      </c>
      <c r="N267">
        <v>0</v>
      </c>
      <c r="O267">
        <v>0</v>
      </c>
    </row>
    <row r="268" spans="1:15" x14ac:dyDescent="0.3">
      <c r="A268">
        <v>266</v>
      </c>
      <c r="B268" s="20">
        <v>53082</v>
      </c>
      <c r="C268">
        <v>0</v>
      </c>
      <c r="D268">
        <v>0</v>
      </c>
      <c r="E268">
        <v>0</v>
      </c>
      <c r="F268">
        <v>46.393178356642458</v>
      </c>
      <c r="G268">
        <v>0</v>
      </c>
      <c r="H268">
        <v>0</v>
      </c>
      <c r="I268">
        <v>-2.7363279166043757</v>
      </c>
      <c r="J268">
        <v>0</v>
      </c>
      <c r="K268">
        <v>108.27995883072401</v>
      </c>
      <c r="L268">
        <v>-6.3864879418174327</v>
      </c>
      <c r="M268">
        <v>-26.908413665569498</v>
      </c>
      <c r="N268">
        <v>0</v>
      </c>
      <c r="O268">
        <v>0</v>
      </c>
    </row>
    <row r="269" spans="1:15" x14ac:dyDescent="0.3">
      <c r="A269">
        <v>267</v>
      </c>
      <c r="B269" s="20">
        <v>53113</v>
      </c>
      <c r="C269">
        <v>0</v>
      </c>
      <c r="D269">
        <v>0</v>
      </c>
      <c r="E269">
        <v>0</v>
      </c>
      <c r="F269">
        <v>60.471410874657259</v>
      </c>
      <c r="G269">
        <v>0</v>
      </c>
      <c r="H269">
        <v>0</v>
      </c>
      <c r="I269">
        <v>-3.5814802464549049</v>
      </c>
      <c r="J269">
        <v>0</v>
      </c>
      <c r="K269">
        <v>141.13803175130337</v>
      </c>
      <c r="L269">
        <v>-8.3590421561118102</v>
      </c>
      <c r="M269">
        <v>-37.938063389181814</v>
      </c>
      <c r="N269">
        <v>0</v>
      </c>
      <c r="O269">
        <v>0</v>
      </c>
    </row>
    <row r="270" spans="1:15" x14ac:dyDescent="0.3">
      <c r="A270">
        <v>268</v>
      </c>
      <c r="B270" s="20">
        <v>53143</v>
      </c>
      <c r="C270">
        <v>0</v>
      </c>
      <c r="D270">
        <v>0</v>
      </c>
      <c r="E270">
        <v>0</v>
      </c>
      <c r="F270">
        <v>65.465098055468459</v>
      </c>
      <c r="G270">
        <v>0</v>
      </c>
      <c r="H270">
        <v>0</v>
      </c>
      <c r="I270">
        <v>-3.8928055559086032</v>
      </c>
      <c r="J270">
        <v>0</v>
      </c>
      <c r="K270">
        <v>152.7931125520852</v>
      </c>
      <c r="L270">
        <v>-9.0856638898387967</v>
      </c>
      <c r="M270">
        <v>-41.840768623784903</v>
      </c>
      <c r="N270">
        <v>0</v>
      </c>
      <c r="O270">
        <v>0</v>
      </c>
    </row>
    <row r="271" spans="1:15" x14ac:dyDescent="0.3">
      <c r="A271">
        <v>269</v>
      </c>
      <c r="B271" s="20">
        <v>53174</v>
      </c>
      <c r="C271">
        <v>0</v>
      </c>
      <c r="D271">
        <v>0</v>
      </c>
      <c r="E271">
        <v>0</v>
      </c>
      <c r="F271">
        <v>67.473205336599804</v>
      </c>
      <c r="G271">
        <v>0</v>
      </c>
      <c r="H271">
        <v>0</v>
      </c>
      <c r="I271">
        <v>-4.0288646260657801</v>
      </c>
      <c r="J271">
        <v>0</v>
      </c>
      <c r="K271">
        <v>157.47996052048802</v>
      </c>
      <c r="L271">
        <v>-9.4032207168772768</v>
      </c>
      <c r="M271">
        <v>-43.401103461869525</v>
      </c>
      <c r="N271">
        <v>0</v>
      </c>
      <c r="O271">
        <v>0</v>
      </c>
    </row>
    <row r="272" spans="1:15" x14ac:dyDescent="0.3">
      <c r="A272">
        <v>270</v>
      </c>
      <c r="B272" s="20">
        <v>53205</v>
      </c>
      <c r="C272">
        <v>0</v>
      </c>
      <c r="D272">
        <v>0</v>
      </c>
      <c r="E272">
        <v>0</v>
      </c>
      <c r="F272">
        <v>59.880766516397415</v>
      </c>
      <c r="G272">
        <v>0</v>
      </c>
      <c r="H272">
        <v>0</v>
      </c>
      <c r="I272">
        <v>-3.5903528188925757</v>
      </c>
      <c r="J272">
        <v>0</v>
      </c>
      <c r="K272">
        <v>139.75948970996427</v>
      </c>
      <c r="L272">
        <v>-8.3797504113403729</v>
      </c>
      <c r="M272">
        <v>-37.438371582365512</v>
      </c>
      <c r="N272">
        <v>0</v>
      </c>
      <c r="O272">
        <v>0</v>
      </c>
    </row>
    <row r="273" spans="1:15" x14ac:dyDescent="0.3">
      <c r="A273">
        <v>271</v>
      </c>
      <c r="B273" s="20">
        <v>53235</v>
      </c>
      <c r="C273">
        <v>0</v>
      </c>
      <c r="D273">
        <v>0</v>
      </c>
      <c r="E273">
        <v>0</v>
      </c>
      <c r="F273">
        <v>45.618403576715579</v>
      </c>
      <c r="G273">
        <v>0</v>
      </c>
      <c r="H273">
        <v>0</v>
      </c>
      <c r="I273">
        <v>-2.7461881582583176</v>
      </c>
      <c r="J273">
        <v>0</v>
      </c>
      <c r="K273">
        <v>106.47166320957361</v>
      </c>
      <c r="L273">
        <v>-6.4095013803911431</v>
      </c>
      <c r="M273">
        <v>-26.254427645243265</v>
      </c>
      <c r="N273">
        <v>0</v>
      </c>
      <c r="O273">
        <v>0</v>
      </c>
    </row>
    <row r="274" spans="1:15" x14ac:dyDescent="0.3">
      <c r="A274">
        <v>272</v>
      </c>
      <c r="B274" s="20">
        <v>53266</v>
      </c>
      <c r="C274">
        <v>0</v>
      </c>
      <c r="D274">
        <v>0</v>
      </c>
      <c r="E274">
        <v>0</v>
      </c>
      <c r="F274">
        <v>32.599409775763782</v>
      </c>
      <c r="G274">
        <v>0</v>
      </c>
      <c r="H274">
        <v>0</v>
      </c>
      <c r="I274">
        <v>-1.9705995915099754</v>
      </c>
      <c r="J274">
        <v>0</v>
      </c>
      <c r="K274">
        <v>76.085814196435777</v>
      </c>
      <c r="L274">
        <v>-4.599306410960545</v>
      </c>
      <c r="M274">
        <v>-16.049662825765591</v>
      </c>
      <c r="N274">
        <v>0</v>
      </c>
      <c r="O274">
        <v>0</v>
      </c>
    </row>
    <row r="275" spans="1:15" x14ac:dyDescent="0.3">
      <c r="A275">
        <v>273</v>
      </c>
      <c r="B275" s="20">
        <v>53296</v>
      </c>
      <c r="C275">
        <v>0</v>
      </c>
      <c r="D275">
        <v>0</v>
      </c>
      <c r="E275">
        <v>0</v>
      </c>
      <c r="F275">
        <v>19.521777462038983</v>
      </c>
      <c r="G275">
        <v>0</v>
      </c>
      <c r="H275">
        <v>0</v>
      </c>
      <c r="I275">
        <v>-1.1848092578118705</v>
      </c>
      <c r="J275">
        <v>0</v>
      </c>
      <c r="K275">
        <v>45.563105067783873</v>
      </c>
      <c r="L275">
        <v>-2.7653008955736187</v>
      </c>
      <c r="M275">
        <v>-5.804526427442676</v>
      </c>
      <c r="N275">
        <v>0</v>
      </c>
      <c r="O275">
        <v>0</v>
      </c>
    </row>
    <row r="276" spans="1:15" x14ac:dyDescent="0.3">
      <c r="A276">
        <v>274</v>
      </c>
      <c r="B276" s="20">
        <v>53327</v>
      </c>
      <c r="C276">
        <v>0</v>
      </c>
      <c r="D276">
        <v>0</v>
      </c>
      <c r="E276">
        <v>0</v>
      </c>
      <c r="F276">
        <v>13.234977521396548</v>
      </c>
      <c r="G276">
        <v>0</v>
      </c>
      <c r="H276">
        <v>-38.906342338379808</v>
      </c>
      <c r="I276">
        <v>-0.80658610007552578</v>
      </c>
      <c r="J276">
        <v>0</v>
      </c>
      <c r="K276">
        <v>30.88994701172895</v>
      </c>
      <c r="L276">
        <v>-1.8825420633658194</v>
      </c>
      <c r="M276">
        <v>8.8468031588405793</v>
      </c>
      <c r="N276">
        <v>0</v>
      </c>
      <c r="O276">
        <v>0</v>
      </c>
    </row>
    <row r="277" spans="1:15" x14ac:dyDescent="0.3">
      <c r="A277">
        <v>275</v>
      </c>
      <c r="B277" s="20">
        <v>53358</v>
      </c>
      <c r="C277">
        <v>0</v>
      </c>
      <c r="D277">
        <v>0</v>
      </c>
      <c r="E277">
        <v>0</v>
      </c>
      <c r="F277">
        <v>13.673365228975962</v>
      </c>
      <c r="G277">
        <v>0</v>
      </c>
      <c r="H277">
        <v>0</v>
      </c>
      <c r="I277">
        <v>-0.83676091110138928</v>
      </c>
      <c r="J277">
        <v>0</v>
      </c>
      <c r="K277">
        <v>31.91312767341341</v>
      </c>
      <c r="L277">
        <v>-1.9529689539420194</v>
      </c>
      <c r="M277">
        <v>-1.2200240926698243</v>
      </c>
      <c r="N277">
        <v>0</v>
      </c>
      <c r="O277">
        <v>0</v>
      </c>
    </row>
    <row r="278" spans="1:15" x14ac:dyDescent="0.3">
      <c r="A278">
        <v>276</v>
      </c>
      <c r="B278" s="20">
        <v>53386</v>
      </c>
      <c r="C278">
        <v>0</v>
      </c>
      <c r="D278">
        <v>0</v>
      </c>
      <c r="E278">
        <v>0</v>
      </c>
      <c r="F278">
        <v>18.939174174976735</v>
      </c>
      <c r="G278">
        <v>0</v>
      </c>
      <c r="H278">
        <v>0</v>
      </c>
      <c r="I278">
        <v>-1.1633527186073636</v>
      </c>
      <c r="J278">
        <v>0</v>
      </c>
      <c r="K278">
        <v>44.203330588596621</v>
      </c>
      <c r="L278">
        <v>-2.7152221283062929</v>
      </c>
      <c r="M278">
        <v>-5.3368158124982585</v>
      </c>
      <c r="N278">
        <v>0</v>
      </c>
      <c r="O278">
        <v>0</v>
      </c>
    </row>
    <row r="279" spans="1:15" x14ac:dyDescent="0.3">
      <c r="A279">
        <v>277</v>
      </c>
      <c r="B279" s="20">
        <v>53417</v>
      </c>
      <c r="C279">
        <v>0</v>
      </c>
      <c r="D279">
        <v>0</v>
      </c>
      <c r="E279">
        <v>0</v>
      </c>
      <c r="F279">
        <v>33.226470393458406</v>
      </c>
      <c r="G279">
        <v>0</v>
      </c>
      <c r="H279">
        <v>0</v>
      </c>
      <c r="I279">
        <v>-2.0494296941754286</v>
      </c>
      <c r="J279">
        <v>0</v>
      </c>
      <c r="K279">
        <v>77.549350437612944</v>
      </c>
      <c r="L279">
        <v>-4.7832929489299776</v>
      </c>
      <c r="M279">
        <v>-16.506607880324818</v>
      </c>
      <c r="N279">
        <v>0</v>
      </c>
      <c r="O279">
        <v>0</v>
      </c>
    </row>
    <row r="280" spans="1:15" x14ac:dyDescent="0.3">
      <c r="A280">
        <v>278</v>
      </c>
      <c r="B280" s="20">
        <v>53447</v>
      </c>
      <c r="C280">
        <v>0</v>
      </c>
      <c r="D280">
        <v>0</v>
      </c>
      <c r="E280">
        <v>0</v>
      </c>
      <c r="F280">
        <v>46.161212464859233</v>
      </c>
      <c r="G280">
        <v>0</v>
      </c>
      <c r="H280">
        <v>0</v>
      </c>
      <c r="I280">
        <v>-2.858685985495776</v>
      </c>
      <c r="J280">
        <v>0</v>
      </c>
      <c r="K280">
        <v>107.73855903657035</v>
      </c>
      <c r="L280">
        <v>-6.672067139696872</v>
      </c>
      <c r="M280">
        <v>-26.613087927392566</v>
      </c>
      <c r="N280">
        <v>0</v>
      </c>
      <c r="O280">
        <v>0</v>
      </c>
    </row>
    <row r="281" spans="1:15" x14ac:dyDescent="0.3">
      <c r="A281">
        <v>279</v>
      </c>
      <c r="B281" s="20">
        <v>53478</v>
      </c>
      <c r="C281">
        <v>0</v>
      </c>
      <c r="D281">
        <v>0</v>
      </c>
      <c r="E281">
        <v>0</v>
      </c>
      <c r="F281">
        <v>60.169053820283928</v>
      </c>
      <c r="G281">
        <v>0</v>
      </c>
      <c r="H281">
        <v>0</v>
      </c>
      <c r="I281">
        <v>-3.7416302796690251</v>
      </c>
      <c r="J281">
        <v>0</v>
      </c>
      <c r="K281">
        <v>140.43234159254678</v>
      </c>
      <c r="L281">
        <v>-8.7328263980505021</v>
      </c>
      <c r="M281">
        <v>-37.552568017111135</v>
      </c>
      <c r="N281">
        <v>0</v>
      </c>
      <c r="O281">
        <v>0</v>
      </c>
    </row>
    <row r="282" spans="1:15" x14ac:dyDescent="0.3">
      <c r="A282">
        <v>280</v>
      </c>
      <c r="B282" s="20">
        <v>53508</v>
      </c>
      <c r="C282">
        <v>0</v>
      </c>
      <c r="D282">
        <v>0</v>
      </c>
      <c r="E282">
        <v>0</v>
      </c>
      <c r="F282">
        <v>65.137772565191085</v>
      </c>
      <c r="G282">
        <v>0</v>
      </c>
      <c r="H282">
        <v>0</v>
      </c>
      <c r="I282">
        <v>-4.0668768605575618</v>
      </c>
      <c r="J282">
        <v>0</v>
      </c>
      <c r="K282">
        <v>152.02914698932472</v>
      </c>
      <c r="L282">
        <v>-9.4919398633473246</v>
      </c>
      <c r="M282">
        <v>-41.422859040986062</v>
      </c>
      <c r="N282">
        <v>0</v>
      </c>
      <c r="O282">
        <v>0</v>
      </c>
    </row>
    <row r="283" spans="1:15" x14ac:dyDescent="0.3">
      <c r="A283">
        <v>281</v>
      </c>
      <c r="B283" s="20">
        <v>53539</v>
      </c>
      <c r="C283">
        <v>0</v>
      </c>
      <c r="D283">
        <v>0</v>
      </c>
      <c r="E283">
        <v>0</v>
      </c>
      <c r="F283">
        <v>67.135839309916761</v>
      </c>
      <c r="G283">
        <v>0</v>
      </c>
      <c r="H283">
        <v>0</v>
      </c>
      <c r="I283">
        <v>-4.2090199694655652</v>
      </c>
      <c r="J283">
        <v>0</v>
      </c>
      <c r="K283">
        <v>156.6925607178855</v>
      </c>
      <c r="L283">
        <v>-9.8236966113396953</v>
      </c>
      <c r="M283">
        <v>-42.969754195082587</v>
      </c>
      <c r="N283">
        <v>0</v>
      </c>
      <c r="O283">
        <v>0</v>
      </c>
    </row>
    <row r="284" spans="1:15" x14ac:dyDescent="0.3">
      <c r="A284">
        <v>282</v>
      </c>
      <c r="B284" s="20">
        <v>53570</v>
      </c>
      <c r="C284">
        <v>0</v>
      </c>
      <c r="D284">
        <v>0</v>
      </c>
      <c r="E284">
        <v>0</v>
      </c>
      <c r="F284">
        <v>59.581362683815392</v>
      </c>
      <c r="G284">
        <v>0</v>
      </c>
      <c r="H284">
        <v>0</v>
      </c>
      <c r="I284">
        <v>-3.7508995994493612</v>
      </c>
      <c r="J284">
        <v>0</v>
      </c>
      <c r="K284">
        <v>139.06069226141437</v>
      </c>
      <c r="L284">
        <v>-8.7544606468723405</v>
      </c>
      <c r="M284">
        <v>-37.05500700806035</v>
      </c>
      <c r="N284">
        <v>0</v>
      </c>
      <c r="O284">
        <v>0</v>
      </c>
    </row>
    <row r="285" spans="1:15" x14ac:dyDescent="0.3">
      <c r="A285">
        <v>283</v>
      </c>
      <c r="B285" s="20">
        <v>53600</v>
      </c>
      <c r="C285">
        <v>0</v>
      </c>
      <c r="D285">
        <v>0</v>
      </c>
      <c r="E285">
        <v>0</v>
      </c>
      <c r="F285">
        <v>45.390311558831975</v>
      </c>
      <c r="G285">
        <v>0</v>
      </c>
      <c r="H285">
        <v>0</v>
      </c>
      <c r="I285">
        <v>-2.8689871392641826</v>
      </c>
      <c r="J285">
        <v>0</v>
      </c>
      <c r="K285">
        <v>105.9393048935257</v>
      </c>
      <c r="L285">
        <v>-6.6961096508043783</v>
      </c>
      <c r="M285">
        <v>-25.961963248905615</v>
      </c>
      <c r="N285">
        <v>0</v>
      </c>
      <c r="O285">
        <v>0</v>
      </c>
    </row>
    <row r="286" spans="1:15" x14ac:dyDescent="0.3">
      <c r="A286">
        <v>284</v>
      </c>
      <c r="B286" s="20">
        <v>53631</v>
      </c>
      <c r="C286">
        <v>0</v>
      </c>
      <c r="D286">
        <v>0</v>
      </c>
      <c r="E286">
        <v>0</v>
      </c>
      <c r="F286">
        <v>32.436412726884946</v>
      </c>
      <c r="G286">
        <v>0</v>
      </c>
      <c r="H286">
        <v>0</v>
      </c>
      <c r="I286">
        <v>-2.0587172323498049</v>
      </c>
      <c r="J286">
        <v>0</v>
      </c>
      <c r="K286">
        <v>75.705385125453574</v>
      </c>
      <c r="L286">
        <v>-4.8049697188082865</v>
      </c>
      <c r="M286">
        <v>-15.84036105862844</v>
      </c>
      <c r="N286">
        <v>0</v>
      </c>
      <c r="O286">
        <v>0</v>
      </c>
    </row>
    <row r="287" spans="1:15" x14ac:dyDescent="0.3">
      <c r="A287">
        <v>285</v>
      </c>
      <c r="B287" s="20">
        <v>53661</v>
      </c>
      <c r="C287">
        <v>0</v>
      </c>
      <c r="D287">
        <v>0</v>
      </c>
      <c r="E287">
        <v>0</v>
      </c>
      <c r="F287">
        <v>19.424168574728782</v>
      </c>
      <c r="G287">
        <v>0</v>
      </c>
      <c r="H287">
        <v>0</v>
      </c>
      <c r="I287">
        <v>-1.2377893746724313</v>
      </c>
      <c r="J287">
        <v>0</v>
      </c>
      <c r="K287">
        <v>45.335289542444933</v>
      </c>
      <c r="L287">
        <v>-2.8889545247431561</v>
      </c>
      <c r="M287">
        <v>-5.6790118877728659</v>
      </c>
      <c r="N287">
        <v>0</v>
      </c>
      <c r="O287">
        <v>0</v>
      </c>
    </row>
    <row r="288" spans="1:15" x14ac:dyDescent="0.3">
      <c r="A288">
        <v>286</v>
      </c>
      <c r="B288" s="20">
        <v>53692</v>
      </c>
      <c r="C288">
        <v>0</v>
      </c>
      <c r="D288">
        <v>0</v>
      </c>
      <c r="E288">
        <v>0</v>
      </c>
      <c r="F288">
        <v>13.168802633789559</v>
      </c>
      <c r="G288">
        <v>0</v>
      </c>
      <c r="H288">
        <v>-40.850336133750758</v>
      </c>
      <c r="I288">
        <v>-0.84265353081034755</v>
      </c>
      <c r="J288">
        <v>0</v>
      </c>
      <c r="K288">
        <v>30.735497276670291</v>
      </c>
      <c r="L288">
        <v>-1.9667221099466834</v>
      </c>
      <c r="M288">
        <v>9.4180196326786518</v>
      </c>
      <c r="N288">
        <v>0</v>
      </c>
      <c r="O288">
        <v>0</v>
      </c>
    </row>
    <row r="289" spans="1:15" x14ac:dyDescent="0.3">
      <c r="A289">
        <v>287</v>
      </c>
      <c r="B289" s="20">
        <v>53723</v>
      </c>
      <c r="C289">
        <v>0</v>
      </c>
      <c r="D289">
        <v>0</v>
      </c>
      <c r="E289">
        <v>0</v>
      </c>
      <c r="F289">
        <v>13.604998402831079</v>
      </c>
      <c r="G289">
        <v>0</v>
      </c>
      <c r="H289">
        <v>0</v>
      </c>
      <c r="I289">
        <v>-0.8741776434253532</v>
      </c>
      <c r="J289">
        <v>0</v>
      </c>
      <c r="K289">
        <v>31.753562035046333</v>
      </c>
      <c r="L289">
        <v>-2.0402982204232618</v>
      </c>
      <c r="M289">
        <v>-1.1318544768405334</v>
      </c>
      <c r="N289">
        <v>0</v>
      </c>
      <c r="O289">
        <v>0</v>
      </c>
    </row>
    <row r="290" spans="1:15" x14ac:dyDescent="0.3">
      <c r="A290">
        <v>288</v>
      </c>
      <c r="B290" s="20">
        <v>53751</v>
      </c>
      <c r="C290">
        <v>0</v>
      </c>
      <c r="D290">
        <v>0</v>
      </c>
      <c r="E290">
        <v>0</v>
      </c>
      <c r="F290">
        <v>18.844478304101845</v>
      </c>
      <c r="G290">
        <v>0</v>
      </c>
      <c r="H290">
        <v>0</v>
      </c>
      <c r="I290">
        <v>-1.2153733814908536</v>
      </c>
      <c r="J290">
        <v>0</v>
      </c>
      <c r="K290">
        <v>43.982313935653622</v>
      </c>
      <c r="L290">
        <v>-2.8366364274532447</v>
      </c>
      <c r="M290">
        <v>-5.2145289410361766</v>
      </c>
      <c r="N290">
        <v>0</v>
      </c>
      <c r="O290">
        <v>0</v>
      </c>
    </row>
    <row r="291" spans="1:15" x14ac:dyDescent="0.3">
      <c r="A291">
        <v>289</v>
      </c>
      <c r="B291" s="20">
        <v>53782</v>
      </c>
      <c r="C291">
        <v>0</v>
      </c>
      <c r="D291">
        <v>0</v>
      </c>
      <c r="E291">
        <v>0</v>
      </c>
      <c r="F291">
        <v>33.0603380414911</v>
      </c>
      <c r="G291">
        <v>0</v>
      </c>
      <c r="H291">
        <v>0</v>
      </c>
      <c r="I291">
        <v>-2.1410723142672428</v>
      </c>
      <c r="J291">
        <v>0</v>
      </c>
      <c r="K291">
        <v>77.161603685424851</v>
      </c>
      <c r="L291">
        <v>-4.9971834277068119</v>
      </c>
      <c r="M291">
        <v>-16.291754829568806</v>
      </c>
      <c r="N291">
        <v>0</v>
      </c>
      <c r="O291">
        <v>0</v>
      </c>
    </row>
    <row r="292" spans="1:15" x14ac:dyDescent="0.3">
      <c r="A292">
        <v>290</v>
      </c>
      <c r="B292" s="20">
        <v>53812</v>
      </c>
      <c r="C292">
        <v>0</v>
      </c>
      <c r="D292">
        <v>0</v>
      </c>
      <c r="E292">
        <v>0</v>
      </c>
      <c r="F292">
        <v>45.930406402534913</v>
      </c>
      <c r="G292">
        <v>0</v>
      </c>
      <c r="H292">
        <v>0</v>
      </c>
      <c r="I292">
        <v>-2.9865154370134999</v>
      </c>
      <c r="J292">
        <v>0</v>
      </c>
      <c r="K292">
        <v>107.19986624138745</v>
      </c>
      <c r="L292">
        <v>-6.9704163418422667</v>
      </c>
      <c r="M292">
        <v>-26.314168549599984</v>
      </c>
      <c r="N292">
        <v>0</v>
      </c>
      <c r="O292">
        <v>0</v>
      </c>
    </row>
    <row r="293" spans="1:15" x14ac:dyDescent="0.3">
      <c r="A293">
        <v>291</v>
      </c>
      <c r="B293" s="20">
        <v>53843</v>
      </c>
      <c r="C293">
        <v>0</v>
      </c>
      <c r="D293">
        <v>0</v>
      </c>
      <c r="E293">
        <v>0</v>
      </c>
      <c r="F293">
        <v>59.868208551182491</v>
      </c>
      <c r="G293">
        <v>0</v>
      </c>
      <c r="H293">
        <v>0</v>
      </c>
      <c r="I293">
        <v>-3.908941606921799</v>
      </c>
      <c r="J293">
        <v>0</v>
      </c>
      <c r="K293">
        <v>139.730179884584</v>
      </c>
      <c r="L293">
        <v>-9.1233248348589449</v>
      </c>
      <c r="M293">
        <v>-37.162363831829772</v>
      </c>
      <c r="N293">
        <v>0</v>
      </c>
      <c r="O293">
        <v>0</v>
      </c>
    </row>
    <row r="294" spans="1:15" x14ac:dyDescent="0.3">
      <c r="A294">
        <v>292</v>
      </c>
      <c r="B294" s="20">
        <v>53873</v>
      </c>
      <c r="C294">
        <v>0</v>
      </c>
      <c r="D294">
        <v>0</v>
      </c>
      <c r="E294">
        <v>0</v>
      </c>
      <c r="F294">
        <v>64.812083702365115</v>
      </c>
      <c r="G294">
        <v>0</v>
      </c>
      <c r="H294">
        <v>0</v>
      </c>
      <c r="I294">
        <v>-4.2487319650051534</v>
      </c>
      <c r="J294">
        <v>0</v>
      </c>
      <c r="K294">
        <v>151.26900125437805</v>
      </c>
      <c r="L294">
        <v>-9.9163829370976906</v>
      </c>
      <c r="M294">
        <v>-40.999825846993417</v>
      </c>
      <c r="N294">
        <v>0</v>
      </c>
      <c r="O294">
        <v>0</v>
      </c>
    </row>
    <row r="295" spans="1:15" x14ac:dyDescent="0.3">
      <c r="A295">
        <v>293</v>
      </c>
      <c r="B295" s="20">
        <v>53904</v>
      </c>
      <c r="C295">
        <v>0</v>
      </c>
      <c r="D295">
        <v>0</v>
      </c>
      <c r="E295">
        <v>0</v>
      </c>
      <c r="F295">
        <v>66.80016011336717</v>
      </c>
      <c r="G295">
        <v>0</v>
      </c>
      <c r="H295">
        <v>0</v>
      </c>
      <c r="I295">
        <v>-4.3972311674963356</v>
      </c>
      <c r="J295">
        <v>0</v>
      </c>
      <c r="K295">
        <v>155.90909791429604</v>
      </c>
      <c r="L295">
        <v>-10.262974571939591</v>
      </c>
      <c r="M295">
        <v>-42.533096405390154</v>
      </c>
      <c r="N295">
        <v>0</v>
      </c>
      <c r="O295">
        <v>0</v>
      </c>
    </row>
    <row r="296" spans="1:15" x14ac:dyDescent="0.3">
      <c r="A296">
        <v>294</v>
      </c>
      <c r="B296" s="20">
        <v>53935</v>
      </c>
      <c r="C296">
        <v>0</v>
      </c>
      <c r="D296">
        <v>0</v>
      </c>
      <c r="E296">
        <v>0</v>
      </c>
      <c r="F296">
        <v>59.283455870396303</v>
      </c>
      <c r="G296">
        <v>0</v>
      </c>
      <c r="H296">
        <v>0</v>
      </c>
      <c r="I296">
        <v>-3.9186254150612885</v>
      </c>
      <c r="J296">
        <v>0</v>
      </c>
      <c r="K296">
        <v>138.36538880010727</v>
      </c>
      <c r="L296">
        <v>-9.1459264841490135</v>
      </c>
      <c r="M296">
        <v>-36.666906526156652</v>
      </c>
      <c r="N296">
        <v>0</v>
      </c>
      <c r="O296">
        <v>0</v>
      </c>
    </row>
    <row r="297" spans="1:15" x14ac:dyDescent="0.3">
      <c r="A297">
        <v>295</v>
      </c>
      <c r="B297" s="20">
        <v>53965</v>
      </c>
      <c r="C297">
        <v>0</v>
      </c>
      <c r="D297">
        <v>0</v>
      </c>
      <c r="E297">
        <v>0</v>
      </c>
      <c r="F297">
        <v>45.163360001037809</v>
      </c>
      <c r="G297">
        <v>0</v>
      </c>
      <c r="H297">
        <v>0</v>
      </c>
      <c r="I297">
        <v>-2.9972772187917336</v>
      </c>
      <c r="J297">
        <v>0</v>
      </c>
      <c r="K297">
        <v>105.40960836905803</v>
      </c>
      <c r="L297">
        <v>-6.9955339416526154</v>
      </c>
      <c r="M297">
        <v>-25.665872635746208</v>
      </c>
      <c r="N297">
        <v>0</v>
      </c>
      <c r="O297">
        <v>0</v>
      </c>
    </row>
    <row r="298" spans="1:15" x14ac:dyDescent="0.3">
      <c r="A298">
        <v>296</v>
      </c>
      <c r="B298" s="20">
        <v>53996</v>
      </c>
      <c r="C298">
        <v>0</v>
      </c>
      <c r="D298">
        <v>0</v>
      </c>
      <c r="E298">
        <v>0</v>
      </c>
      <c r="F298">
        <v>32.274230663250513</v>
      </c>
      <c r="G298">
        <v>0</v>
      </c>
      <c r="H298">
        <v>0</v>
      </c>
      <c r="I298">
        <v>-2.150775155457342</v>
      </c>
      <c r="J298">
        <v>0</v>
      </c>
      <c r="K298">
        <v>75.326858199826276</v>
      </c>
      <c r="L298">
        <v>-5.0198294994315908</v>
      </c>
      <c r="M298">
        <v>-15.628454385380298</v>
      </c>
      <c r="N298">
        <v>0</v>
      </c>
      <c r="O298">
        <v>0</v>
      </c>
    </row>
    <row r="299" spans="1:15" x14ac:dyDescent="0.3">
      <c r="A299">
        <v>297</v>
      </c>
      <c r="B299" s="20">
        <v>54026</v>
      </c>
      <c r="C299">
        <v>0</v>
      </c>
      <c r="D299">
        <v>0</v>
      </c>
      <c r="E299">
        <v>0</v>
      </c>
      <c r="F299">
        <v>19.327047731855128</v>
      </c>
      <c r="G299">
        <v>0</v>
      </c>
      <c r="H299">
        <v>0</v>
      </c>
      <c r="I299">
        <v>-1.2931385587596802</v>
      </c>
      <c r="J299">
        <v>0</v>
      </c>
      <c r="K299">
        <v>45.108613094732689</v>
      </c>
      <c r="L299">
        <v>-3.0181374690158966</v>
      </c>
      <c r="M299">
        <v>-5.551929533036394</v>
      </c>
      <c r="N299">
        <v>0</v>
      </c>
      <c r="O299">
        <v>0</v>
      </c>
    </row>
    <row r="300" spans="1:15" x14ac:dyDescent="0.3">
      <c r="A300">
        <v>298</v>
      </c>
      <c r="B300" s="20">
        <v>54057</v>
      </c>
      <c r="C300">
        <v>0</v>
      </c>
      <c r="D300">
        <v>0</v>
      </c>
      <c r="E300">
        <v>0</v>
      </c>
      <c r="F300">
        <v>13.102958620620605</v>
      </c>
      <c r="G300">
        <v>0</v>
      </c>
      <c r="H300">
        <v>-42.891463497822997</v>
      </c>
      <c r="I300">
        <v>-0.88033375844272233</v>
      </c>
      <c r="J300">
        <v>0</v>
      </c>
      <c r="K300">
        <v>30.581819790286925</v>
      </c>
      <c r="L300">
        <v>-2.0546663647119248</v>
      </c>
      <c r="M300">
        <v>10.014587969184193</v>
      </c>
      <c r="N300">
        <v>0</v>
      </c>
      <c r="O300">
        <v>0</v>
      </c>
    </row>
    <row r="301" spans="1:15" x14ac:dyDescent="0.3">
      <c r="A301">
        <v>299</v>
      </c>
      <c r="B301" s="20">
        <v>54088</v>
      </c>
      <c r="C301">
        <v>0</v>
      </c>
      <c r="D301">
        <v>0</v>
      </c>
      <c r="E301">
        <v>0</v>
      </c>
      <c r="F301">
        <v>13.014409739837582</v>
      </c>
      <c r="G301">
        <v>0</v>
      </c>
      <c r="H301">
        <v>0</v>
      </c>
      <c r="I301">
        <v>-0.87801292013108301</v>
      </c>
      <c r="J301">
        <v>0</v>
      </c>
      <c r="K301">
        <v>30.375149984394664</v>
      </c>
      <c r="L301">
        <v>-2.0492496141089545</v>
      </c>
      <c r="M301">
        <v>-0.63640763083138574</v>
      </c>
      <c r="N301">
        <v>0</v>
      </c>
      <c r="O301">
        <v>0</v>
      </c>
    </row>
    <row r="302" spans="1:15" x14ac:dyDescent="0.3">
      <c r="A302">
        <v>300</v>
      </c>
      <c r="B302" s="20">
        <v>54117</v>
      </c>
      <c r="C302">
        <v>0</v>
      </c>
      <c r="D302">
        <v>0</v>
      </c>
      <c r="E302">
        <v>0</v>
      </c>
      <c r="F302">
        <v>19.272601348122247</v>
      </c>
      <c r="G302">
        <v>0</v>
      </c>
      <c r="H302">
        <v>0</v>
      </c>
      <c r="I302">
        <v>-1.3052664783557382</v>
      </c>
      <c r="J302">
        <v>0</v>
      </c>
      <c r="K302">
        <v>44.981537253026879</v>
      </c>
      <c r="L302">
        <v>-3.0464435838603752</v>
      </c>
      <c r="M302">
        <v>-5.4964404680665879</v>
      </c>
      <c r="N302">
        <v>0</v>
      </c>
      <c r="O302">
        <v>0</v>
      </c>
    </row>
    <row r="303" spans="1:15" x14ac:dyDescent="0.3">
      <c r="A303">
        <v>301</v>
      </c>
      <c r="B303" s="20">
        <v>54148</v>
      </c>
      <c r="C303">
        <v>0</v>
      </c>
      <c r="D303">
        <v>0</v>
      </c>
      <c r="E303">
        <v>0</v>
      </c>
      <c r="F303">
        <v>32.895036351283629</v>
      </c>
      <c r="G303">
        <v>0</v>
      </c>
      <c r="H303">
        <v>0</v>
      </c>
      <c r="I303">
        <v>-2.2371116601291248</v>
      </c>
      <c r="J303">
        <v>0</v>
      </c>
      <c r="K303">
        <v>76.775795666997681</v>
      </c>
      <c r="L303">
        <v>-5.2213357014767174</v>
      </c>
      <c r="M303">
        <v>-16.073929497502199</v>
      </c>
      <c r="N303">
        <v>0</v>
      </c>
      <c r="O303">
        <v>0</v>
      </c>
    </row>
    <row r="304" spans="1:15" x14ac:dyDescent="0.3">
      <c r="A304">
        <v>302</v>
      </c>
      <c r="B304" s="20">
        <v>54178</v>
      </c>
      <c r="C304">
        <v>0</v>
      </c>
      <c r="D304">
        <v>0</v>
      </c>
      <c r="E304">
        <v>0</v>
      </c>
      <c r="F304">
        <v>45.700754370522212</v>
      </c>
      <c r="G304">
        <v>0</v>
      </c>
      <c r="H304">
        <v>0</v>
      </c>
      <c r="I304">
        <v>-3.1204777450896515</v>
      </c>
      <c r="J304">
        <v>0</v>
      </c>
      <c r="K304">
        <v>106.66386691018046</v>
      </c>
      <c r="L304">
        <v>-7.2830794038951723</v>
      </c>
      <c r="M304">
        <v>-26.011099366262794</v>
      </c>
      <c r="N304">
        <v>0</v>
      </c>
      <c r="O304">
        <v>0</v>
      </c>
    </row>
    <row r="305" spans="1:15" x14ac:dyDescent="0.3">
      <c r="A305">
        <v>303</v>
      </c>
      <c r="B305" s="20">
        <v>54209</v>
      </c>
      <c r="C305">
        <v>0</v>
      </c>
      <c r="D305">
        <v>0</v>
      </c>
      <c r="E305">
        <v>0</v>
      </c>
      <c r="F305">
        <v>59.568867508426557</v>
      </c>
      <c r="G305">
        <v>0</v>
      </c>
      <c r="H305">
        <v>0</v>
      </c>
      <c r="I305">
        <v>-4.0842800074230183</v>
      </c>
      <c r="J305">
        <v>0</v>
      </c>
      <c r="K305">
        <v>139.031528985161</v>
      </c>
      <c r="L305">
        <v>-9.5325581631247278</v>
      </c>
      <c r="M305">
        <v>-36.766722914093286</v>
      </c>
      <c r="N305">
        <v>0</v>
      </c>
      <c r="O305">
        <v>0</v>
      </c>
    </row>
    <row r="306" spans="1:15" x14ac:dyDescent="0.3">
      <c r="A306">
        <v>304</v>
      </c>
      <c r="B306" s="20">
        <v>54239</v>
      </c>
      <c r="C306">
        <v>0</v>
      </c>
      <c r="D306">
        <v>0</v>
      </c>
      <c r="E306">
        <v>0</v>
      </c>
      <c r="F306">
        <v>64.488023283853252</v>
      </c>
      <c r="G306">
        <v>0</v>
      </c>
      <c r="H306">
        <v>0</v>
      </c>
      <c r="I306">
        <v>-4.4393119075612786</v>
      </c>
      <c r="J306">
        <v>0</v>
      </c>
      <c r="K306">
        <v>150.51265624810608</v>
      </c>
      <c r="L306">
        <v>-10.361189459627836</v>
      </c>
      <c r="M306">
        <v>-40.570877874525891</v>
      </c>
      <c r="N306">
        <v>0</v>
      </c>
      <c r="O306">
        <v>0</v>
      </c>
    </row>
    <row r="307" spans="1:15" x14ac:dyDescent="0.3">
      <c r="A307">
        <v>305</v>
      </c>
      <c r="B307" s="20">
        <v>54270</v>
      </c>
      <c r="C307">
        <v>0</v>
      </c>
      <c r="D307">
        <v>0</v>
      </c>
      <c r="E307">
        <v>0</v>
      </c>
      <c r="F307">
        <v>66.466159312800301</v>
      </c>
      <c r="G307">
        <v>0</v>
      </c>
      <c r="H307">
        <v>0</v>
      </c>
      <c r="I307">
        <v>-4.5944721490903433</v>
      </c>
      <c r="J307">
        <v>0</v>
      </c>
      <c r="K307">
        <v>155.12955242472447</v>
      </c>
      <c r="L307">
        <v>-10.723327712708459</v>
      </c>
      <c r="M307">
        <v>-42.090311302264823</v>
      </c>
      <c r="N307">
        <v>0</v>
      </c>
      <c r="O307">
        <v>0</v>
      </c>
    </row>
    <row r="308" spans="1:15" x14ac:dyDescent="0.3">
      <c r="A308">
        <v>306</v>
      </c>
      <c r="B308" s="20">
        <v>54301</v>
      </c>
      <c r="C308">
        <v>0</v>
      </c>
      <c r="D308">
        <v>0</v>
      </c>
      <c r="E308">
        <v>0</v>
      </c>
      <c r="F308">
        <v>58.987038591044289</v>
      </c>
      <c r="G308">
        <v>0</v>
      </c>
      <c r="H308">
        <v>0</v>
      </c>
      <c r="I308">
        <v>-4.0943981897744246</v>
      </c>
      <c r="J308">
        <v>0</v>
      </c>
      <c r="K308">
        <v>137.67356185610666</v>
      </c>
      <c r="L308">
        <v>-9.556173625726359</v>
      </c>
      <c r="M308">
        <v>-36.273340491245875</v>
      </c>
      <c r="N308">
        <v>0</v>
      </c>
      <c r="O308">
        <v>0</v>
      </c>
    </row>
    <row r="309" spans="1:15" x14ac:dyDescent="0.3">
      <c r="A309">
        <v>307</v>
      </c>
      <c r="B309" s="20">
        <v>54331</v>
      </c>
      <c r="C309">
        <v>0</v>
      </c>
      <c r="D309">
        <v>0</v>
      </c>
      <c r="E309">
        <v>0</v>
      </c>
      <c r="F309">
        <v>44.937543201032589</v>
      </c>
      <c r="G309">
        <v>0</v>
      </c>
      <c r="H309">
        <v>0</v>
      </c>
      <c r="I309">
        <v>-3.1317222543663452</v>
      </c>
      <c r="J309">
        <v>0</v>
      </c>
      <c r="K309">
        <v>104.88256032721269</v>
      </c>
      <c r="L309">
        <v>-7.3093236717957728</v>
      </c>
      <c r="M309">
        <v>-25.365597733854123</v>
      </c>
      <c r="N309">
        <v>0</v>
      </c>
      <c r="O309">
        <v>0</v>
      </c>
    </row>
    <row r="310" spans="1:15" x14ac:dyDescent="0.3">
      <c r="A310">
        <v>308</v>
      </c>
      <c r="B310" s="20">
        <v>54362</v>
      </c>
      <c r="C310">
        <v>0</v>
      </c>
      <c r="D310">
        <v>0</v>
      </c>
      <c r="E310">
        <v>0</v>
      </c>
      <c r="F310">
        <v>32.112859509934239</v>
      </c>
      <c r="G310">
        <v>0</v>
      </c>
      <c r="H310">
        <v>0</v>
      </c>
      <c r="I310">
        <v>-2.2472497292723794</v>
      </c>
      <c r="J310">
        <v>0</v>
      </c>
      <c r="K310">
        <v>74.950223908827098</v>
      </c>
      <c r="L310">
        <v>-5.2449975791134662</v>
      </c>
      <c r="M310">
        <v>-15.413542360927208</v>
      </c>
      <c r="N310">
        <v>0</v>
      </c>
      <c r="O310">
        <v>0</v>
      </c>
    </row>
    <row r="311" spans="1:15" x14ac:dyDescent="0.3">
      <c r="A311">
        <v>309</v>
      </c>
      <c r="B311" s="20">
        <v>54392</v>
      </c>
      <c r="C311">
        <v>0</v>
      </c>
      <c r="D311">
        <v>0</v>
      </c>
      <c r="E311">
        <v>0</v>
      </c>
      <c r="F311">
        <v>19.230412493195843</v>
      </c>
      <c r="G311">
        <v>0</v>
      </c>
      <c r="H311">
        <v>0</v>
      </c>
      <c r="I311">
        <v>-1.351143223274974</v>
      </c>
      <c r="J311">
        <v>0</v>
      </c>
      <c r="K311">
        <v>44.883070029259002</v>
      </c>
      <c r="L311">
        <v>-3.1535182061885791</v>
      </c>
      <c r="M311">
        <v>-5.4230386065811569</v>
      </c>
      <c r="N311">
        <v>0</v>
      </c>
      <c r="O311">
        <v>0</v>
      </c>
    </row>
    <row r="312" spans="1:15" x14ac:dyDescent="0.3">
      <c r="A312">
        <v>310</v>
      </c>
      <c r="B312" s="20">
        <v>54423</v>
      </c>
      <c r="C312">
        <v>0</v>
      </c>
      <c r="D312">
        <v>0</v>
      </c>
      <c r="E312">
        <v>0</v>
      </c>
      <c r="F312">
        <v>13.037443827517494</v>
      </c>
      <c r="G312">
        <v>0</v>
      </c>
      <c r="H312">
        <v>-45.040594058013035</v>
      </c>
      <c r="I312">
        <v>-0.91982176533421567</v>
      </c>
      <c r="J312">
        <v>0</v>
      </c>
      <c r="K312">
        <v>30.428910691335474</v>
      </c>
      <c r="L312">
        <v>-2.1468299092668768</v>
      </c>
      <c r="M312">
        <v>10.639389470106957</v>
      </c>
      <c r="N312">
        <v>0</v>
      </c>
      <c r="O312">
        <v>0</v>
      </c>
    </row>
    <row r="313" spans="1:15" x14ac:dyDescent="0.3">
      <c r="A313">
        <v>311</v>
      </c>
      <c r="B313" s="20">
        <v>54454</v>
      </c>
      <c r="C313">
        <v>0</v>
      </c>
      <c r="D313">
        <v>0</v>
      </c>
      <c r="E313">
        <v>0</v>
      </c>
      <c r="F313">
        <v>13.469288543762826</v>
      </c>
      <c r="G313">
        <v>0</v>
      </c>
      <c r="H313">
        <v>0</v>
      </c>
      <c r="I313">
        <v>-0.95423278226574648</v>
      </c>
      <c r="J313">
        <v>0</v>
      </c>
      <c r="K313">
        <v>31.436820253746713</v>
      </c>
      <c r="L313">
        <v>-2.2271439474219288</v>
      </c>
      <c r="M313">
        <v>-0.95201635028880027</v>
      </c>
      <c r="N313">
        <v>0</v>
      </c>
      <c r="O313">
        <v>0</v>
      </c>
    </row>
    <row r="314" spans="1:15" x14ac:dyDescent="0.3">
      <c r="A314">
        <v>312</v>
      </c>
      <c r="B314" s="20">
        <v>54482</v>
      </c>
      <c r="C314">
        <v>0</v>
      </c>
      <c r="D314">
        <v>0</v>
      </c>
      <c r="E314">
        <v>0</v>
      </c>
      <c r="F314">
        <v>18.656504633018415</v>
      </c>
      <c r="G314">
        <v>0</v>
      </c>
      <c r="H314">
        <v>0</v>
      </c>
      <c r="I314">
        <v>-1.32667442599815</v>
      </c>
      <c r="J314">
        <v>0</v>
      </c>
      <c r="K314">
        <v>43.543590354145444</v>
      </c>
      <c r="L314">
        <v>-3.0964089402227022</v>
      </c>
      <c r="M314">
        <v>-4.9650862385690857</v>
      </c>
      <c r="N314">
        <v>0</v>
      </c>
      <c r="O314">
        <v>0</v>
      </c>
    </row>
    <row r="315" spans="1:15" x14ac:dyDescent="0.3">
      <c r="A315">
        <v>313</v>
      </c>
      <c r="B315" s="20">
        <v>54513</v>
      </c>
      <c r="C315">
        <v>0</v>
      </c>
      <c r="D315">
        <v>0</v>
      </c>
      <c r="E315">
        <v>0</v>
      </c>
      <c r="F315">
        <v>32.730561169527192</v>
      </c>
      <c r="G315">
        <v>0</v>
      </c>
      <c r="H315">
        <v>0</v>
      </c>
      <c r="I315">
        <v>-2.337146696488186</v>
      </c>
      <c r="J315">
        <v>0</v>
      </c>
      <c r="K315">
        <v>76.391916688662661</v>
      </c>
      <c r="L315">
        <v>-5.4548137687762024</v>
      </c>
      <c r="M315">
        <v>-15.8534626815647</v>
      </c>
      <c r="N315">
        <v>0</v>
      </c>
      <c r="O315">
        <v>0</v>
      </c>
    </row>
    <row r="316" spans="1:15" x14ac:dyDescent="0.3">
      <c r="A316">
        <v>314</v>
      </c>
      <c r="B316" s="20">
        <v>54543</v>
      </c>
      <c r="C316">
        <v>0</v>
      </c>
      <c r="D316">
        <v>0</v>
      </c>
      <c r="E316">
        <v>0</v>
      </c>
      <c r="F316">
        <v>45.472250598669582</v>
      </c>
      <c r="G316">
        <v>0</v>
      </c>
      <c r="H316">
        <v>0</v>
      </c>
      <c r="I316">
        <v>-3.2600135180468537</v>
      </c>
      <c r="J316">
        <v>0</v>
      </c>
      <c r="K316">
        <v>106.13054757562951</v>
      </c>
      <c r="L316">
        <v>-7.6087507264131276</v>
      </c>
      <c r="M316">
        <v>-25.704341815793114</v>
      </c>
      <c r="N316">
        <v>0</v>
      </c>
      <c r="O316">
        <v>0</v>
      </c>
    </row>
    <row r="317" spans="1:15" x14ac:dyDescent="0.3">
      <c r="A317">
        <v>315</v>
      </c>
      <c r="B317" s="20">
        <v>54574</v>
      </c>
      <c r="C317">
        <v>0</v>
      </c>
      <c r="D317">
        <v>0</v>
      </c>
      <c r="E317">
        <v>0</v>
      </c>
      <c r="F317">
        <v>59.271023170884384</v>
      </c>
      <c r="G317">
        <v>0</v>
      </c>
      <c r="H317">
        <v>0</v>
      </c>
      <c r="I317">
        <v>-4.2669133137192121</v>
      </c>
      <c r="J317">
        <v>0</v>
      </c>
      <c r="K317">
        <v>138.3363713402351</v>
      </c>
      <c r="L317">
        <v>-9.9588175311475169</v>
      </c>
      <c r="M317">
        <v>-36.366249249896526</v>
      </c>
      <c r="N317">
        <v>0</v>
      </c>
      <c r="O317">
        <v>0</v>
      </c>
    </row>
    <row r="318" spans="1:15" x14ac:dyDescent="0.3">
      <c r="A318">
        <v>316</v>
      </c>
      <c r="B318" s="20">
        <v>54604</v>
      </c>
      <c r="C318">
        <v>0</v>
      </c>
      <c r="D318">
        <v>0</v>
      </c>
      <c r="E318">
        <v>0</v>
      </c>
      <c r="F318">
        <v>64.165583167433937</v>
      </c>
      <c r="G318">
        <v>0</v>
      </c>
      <c r="H318">
        <v>0</v>
      </c>
      <c r="I318">
        <v>-4.6378208760659936</v>
      </c>
      <c r="J318">
        <v>0</v>
      </c>
      <c r="K318">
        <v>149.76009296686544</v>
      </c>
      <c r="L318">
        <v>-10.824502034851356</v>
      </c>
      <c r="M318">
        <v>-40.136671639178843</v>
      </c>
      <c r="N318">
        <v>0</v>
      </c>
      <c r="O318">
        <v>0</v>
      </c>
    </row>
    <row r="319" spans="1:15" x14ac:dyDescent="0.3">
      <c r="A319">
        <v>317</v>
      </c>
      <c r="B319" s="20">
        <v>54635</v>
      </c>
      <c r="C319">
        <v>0</v>
      </c>
      <c r="D319">
        <v>0</v>
      </c>
      <c r="E319">
        <v>0</v>
      </c>
      <c r="F319">
        <v>66.13382851623625</v>
      </c>
      <c r="G319">
        <v>0</v>
      </c>
      <c r="H319">
        <v>0</v>
      </c>
      <c r="I319">
        <v>-4.7999192873250163</v>
      </c>
      <c r="J319">
        <v>0</v>
      </c>
      <c r="K319">
        <v>154.35390466260077</v>
      </c>
      <c r="L319">
        <v>-11.202833718934814</v>
      </c>
      <c r="M319">
        <v>-41.642078376477627</v>
      </c>
      <c r="N319">
        <v>0</v>
      </c>
      <c r="O319">
        <v>0</v>
      </c>
    </row>
    <row r="320" spans="1:15" x14ac:dyDescent="0.3">
      <c r="A320">
        <v>318</v>
      </c>
      <c r="B320" s="20">
        <v>54666</v>
      </c>
      <c r="C320">
        <v>0</v>
      </c>
      <c r="D320">
        <v>0</v>
      </c>
      <c r="E320">
        <v>0</v>
      </c>
      <c r="F320">
        <v>58.692103398089039</v>
      </c>
      <c r="G320">
        <v>0</v>
      </c>
      <c r="H320">
        <v>0</v>
      </c>
      <c r="I320">
        <v>-4.2774839423018243</v>
      </c>
      <c r="J320">
        <v>0</v>
      </c>
      <c r="K320">
        <v>136.98519404682605</v>
      </c>
      <c r="L320">
        <v>-9.9834889864839287</v>
      </c>
      <c r="M320">
        <v>-35.874914462365666</v>
      </c>
      <c r="N320">
        <v>0</v>
      </c>
      <c r="O320">
        <v>0</v>
      </c>
    </row>
    <row r="321" spans="1:15" x14ac:dyDescent="0.3">
      <c r="A321">
        <v>319</v>
      </c>
      <c r="B321" s="20">
        <v>54696</v>
      </c>
      <c r="C321">
        <v>0</v>
      </c>
      <c r="D321">
        <v>0</v>
      </c>
      <c r="E321">
        <v>0</v>
      </c>
      <c r="F321">
        <v>44.712855485027411</v>
      </c>
      <c r="G321">
        <v>0</v>
      </c>
      <c r="H321">
        <v>0</v>
      </c>
      <c r="I321">
        <v>-3.2717608385664465</v>
      </c>
      <c r="J321">
        <v>0</v>
      </c>
      <c r="K321">
        <v>104.35814752557658</v>
      </c>
      <c r="L321">
        <v>-7.6361685371191426</v>
      </c>
      <c r="M321">
        <v>-25.061601742062933</v>
      </c>
      <c r="N321">
        <v>0</v>
      </c>
      <c r="O321">
        <v>0</v>
      </c>
    </row>
    <row r="322" spans="1:15" x14ac:dyDescent="0.3">
      <c r="A322">
        <v>320</v>
      </c>
      <c r="B322" s="20">
        <v>54727</v>
      </c>
      <c r="C322">
        <v>0</v>
      </c>
      <c r="D322">
        <v>0</v>
      </c>
      <c r="E322">
        <v>0</v>
      </c>
      <c r="F322">
        <v>31.952295212384556</v>
      </c>
      <c r="G322">
        <v>0</v>
      </c>
      <c r="H322">
        <v>0</v>
      </c>
      <c r="I322">
        <v>-2.347738101123555</v>
      </c>
      <c r="J322">
        <v>0</v>
      </c>
      <c r="K322">
        <v>74.575472789282941</v>
      </c>
      <c r="L322">
        <v>-5.479533714649734</v>
      </c>
      <c r="M322">
        <v>-15.195957379806885</v>
      </c>
      <c r="N322">
        <v>0</v>
      </c>
      <c r="O322">
        <v>0</v>
      </c>
    </row>
    <row r="323" spans="1:15" x14ac:dyDescent="0.3">
      <c r="A323">
        <v>321</v>
      </c>
      <c r="B323" s="20">
        <v>54757</v>
      </c>
      <c r="C323">
        <v>0</v>
      </c>
      <c r="D323">
        <v>0</v>
      </c>
      <c r="E323">
        <v>0</v>
      </c>
      <c r="F323">
        <v>19.134260430729856</v>
      </c>
      <c r="G323">
        <v>0</v>
      </c>
      <c r="H323">
        <v>0</v>
      </c>
      <c r="I323">
        <v>-1.4115611558598906</v>
      </c>
      <c r="J323">
        <v>0</v>
      </c>
      <c r="K323">
        <v>44.658654679112693</v>
      </c>
      <c r="L323">
        <v>-3.2945314215936747</v>
      </c>
      <c r="M323">
        <v>-5.2925389664305804</v>
      </c>
      <c r="N323">
        <v>0</v>
      </c>
      <c r="O323">
        <v>0</v>
      </c>
    </row>
    <row r="324" spans="1:15" x14ac:dyDescent="0.3">
      <c r="A324">
        <v>322</v>
      </c>
      <c r="B324" s="20">
        <v>54788</v>
      </c>
      <c r="C324">
        <v>0</v>
      </c>
      <c r="D324">
        <v>0</v>
      </c>
      <c r="E324">
        <v>0</v>
      </c>
      <c r="F324">
        <v>12.972256608379901</v>
      </c>
      <c r="G324">
        <v>0</v>
      </c>
      <c r="H324">
        <v>-47.291091795042021</v>
      </c>
      <c r="I324">
        <v>-0.96095265986173939</v>
      </c>
      <c r="J324">
        <v>0</v>
      </c>
      <c r="K324">
        <v>30.276766137878784</v>
      </c>
      <c r="L324">
        <v>-2.2428278926745704</v>
      </c>
      <c r="M324">
        <v>11.29062906699658</v>
      </c>
      <c r="N324">
        <v>0</v>
      </c>
      <c r="O324">
        <v>0</v>
      </c>
    </row>
    <row r="325" spans="1:15" x14ac:dyDescent="0.3">
      <c r="A325">
        <v>323</v>
      </c>
      <c r="B325" s="20">
        <v>54819</v>
      </c>
      <c r="C325">
        <v>0</v>
      </c>
      <c r="D325">
        <v>0</v>
      </c>
      <c r="E325">
        <v>0</v>
      </c>
      <c r="F325">
        <v>13.401942101044007</v>
      </c>
      <c r="G325">
        <v>0</v>
      </c>
      <c r="H325">
        <v>0</v>
      </c>
      <c r="I325">
        <v>-0.99690240523103613</v>
      </c>
      <c r="J325">
        <v>0</v>
      </c>
      <c r="K325">
        <v>31.27963615247797</v>
      </c>
      <c r="L325">
        <v>-2.326733265974029</v>
      </c>
      <c r="M325">
        <v>-0.8603189789125617</v>
      </c>
      <c r="N325">
        <v>0</v>
      </c>
      <c r="O325">
        <v>0</v>
      </c>
    </row>
    <row r="326" spans="1:15" x14ac:dyDescent="0.3">
      <c r="A326">
        <v>324</v>
      </c>
      <c r="B326" s="20">
        <v>54847</v>
      </c>
      <c r="C326">
        <v>0</v>
      </c>
      <c r="D326">
        <v>0</v>
      </c>
      <c r="E326">
        <v>0</v>
      </c>
      <c r="F326">
        <v>18.56322210985331</v>
      </c>
      <c r="G326">
        <v>0</v>
      </c>
      <c r="H326">
        <v>0</v>
      </c>
      <c r="I326">
        <v>-1.3859982080009232</v>
      </c>
      <c r="J326">
        <v>0</v>
      </c>
      <c r="K326">
        <v>43.325872402374692</v>
      </c>
      <c r="L326">
        <v>-3.2348684487211847</v>
      </c>
      <c r="M326">
        <v>-4.8378902972098077</v>
      </c>
      <c r="N326">
        <v>0</v>
      </c>
      <c r="O326">
        <v>0</v>
      </c>
    </row>
    <row r="327" spans="1:15" x14ac:dyDescent="0.3">
      <c r="A327">
        <v>325</v>
      </c>
      <c r="B327" s="20">
        <v>54878</v>
      </c>
      <c r="C327">
        <v>0</v>
      </c>
      <c r="D327">
        <v>0</v>
      </c>
      <c r="E327">
        <v>0</v>
      </c>
      <c r="F327">
        <v>32.566908363679545</v>
      </c>
      <c r="G327">
        <v>0</v>
      </c>
      <c r="H327">
        <v>0</v>
      </c>
      <c r="I327">
        <v>-2.4416549152447606</v>
      </c>
      <c r="J327">
        <v>0</v>
      </c>
      <c r="K327">
        <v>76.009957105219314</v>
      </c>
      <c r="L327">
        <v>-5.6987320780035322</v>
      </c>
      <c r="M327">
        <v>-15.629952952245976</v>
      </c>
      <c r="N327">
        <v>0</v>
      </c>
      <c r="O327">
        <v>0</v>
      </c>
    </row>
    <row r="328" spans="1:15" x14ac:dyDescent="0.3">
      <c r="A328">
        <v>326</v>
      </c>
      <c r="B328" s="20">
        <v>54908</v>
      </c>
      <c r="C328">
        <v>0</v>
      </c>
      <c r="D328">
        <v>0</v>
      </c>
      <c r="E328">
        <v>0</v>
      </c>
      <c r="F328">
        <v>45.244889345676214</v>
      </c>
      <c r="G328">
        <v>0</v>
      </c>
      <c r="H328">
        <v>0</v>
      </c>
      <c r="I328">
        <v>-3.4057887945433465</v>
      </c>
      <c r="J328">
        <v>0</v>
      </c>
      <c r="K328">
        <v>105.59989483775131</v>
      </c>
      <c r="L328">
        <v>-7.9489848189393113</v>
      </c>
      <c r="M328">
        <v>-25.39333597581955</v>
      </c>
      <c r="N328">
        <v>0</v>
      </c>
      <c r="O328">
        <v>0</v>
      </c>
    </row>
    <row r="329" spans="1:15" x14ac:dyDescent="0.3">
      <c r="A329">
        <v>327</v>
      </c>
      <c r="B329" s="20">
        <v>54939</v>
      </c>
      <c r="C329">
        <v>0</v>
      </c>
      <c r="D329">
        <v>0</v>
      </c>
      <c r="E329">
        <v>0</v>
      </c>
      <c r="F329">
        <v>58.974668055029937</v>
      </c>
      <c r="G329">
        <v>0</v>
      </c>
      <c r="H329">
        <v>0</v>
      </c>
      <c r="I329">
        <v>-4.4577132796244605</v>
      </c>
      <c r="J329">
        <v>0</v>
      </c>
      <c r="K329">
        <v>137.64468948353388</v>
      </c>
      <c r="L329">
        <v>-10.404137580019869</v>
      </c>
      <c r="M329">
        <v>-35.96021000306321</v>
      </c>
      <c r="N329">
        <v>0</v>
      </c>
      <c r="O329">
        <v>0</v>
      </c>
    </row>
    <row r="330" spans="1:15" x14ac:dyDescent="0.3">
      <c r="A330">
        <v>328</v>
      </c>
      <c r="B330" s="20">
        <v>54969</v>
      </c>
      <c r="C330">
        <v>0</v>
      </c>
      <c r="D330">
        <v>0</v>
      </c>
      <c r="E330">
        <v>0</v>
      </c>
      <c r="F330">
        <v>63.844755251596759</v>
      </c>
      <c r="G330">
        <v>0</v>
      </c>
      <c r="H330">
        <v>0</v>
      </c>
      <c r="I330">
        <v>-4.8452064027845418</v>
      </c>
      <c r="J330">
        <v>0</v>
      </c>
      <c r="K330">
        <v>149.0112925020311</v>
      </c>
      <c r="L330">
        <v>-11.308532167957276</v>
      </c>
      <c r="M330">
        <v>-39.696410629054846</v>
      </c>
      <c r="N330">
        <v>0</v>
      </c>
      <c r="O330">
        <v>0</v>
      </c>
    </row>
    <row r="331" spans="1:15" x14ac:dyDescent="0.3">
      <c r="A331">
        <v>329</v>
      </c>
      <c r="B331" s="20">
        <v>55000</v>
      </c>
      <c r="C331">
        <v>0</v>
      </c>
      <c r="D331">
        <v>0</v>
      </c>
      <c r="E331">
        <v>0</v>
      </c>
      <c r="F331">
        <v>65.803159373655035</v>
      </c>
      <c r="G331">
        <v>0</v>
      </c>
      <c r="H331">
        <v>0</v>
      </c>
      <c r="I331">
        <v>-5.0145532320608854</v>
      </c>
      <c r="J331">
        <v>0</v>
      </c>
      <c r="K331">
        <v>153.58213513928769</v>
      </c>
      <c r="L331">
        <v>-11.703781391047652</v>
      </c>
      <c r="M331">
        <v>-41.187573305791886</v>
      </c>
      <c r="N331">
        <v>0</v>
      </c>
      <c r="O331">
        <v>0</v>
      </c>
    </row>
    <row r="332" spans="1:15" x14ac:dyDescent="0.3">
      <c r="A332">
        <v>330</v>
      </c>
      <c r="B332" s="20">
        <v>55031</v>
      </c>
      <c r="C332">
        <v>0</v>
      </c>
      <c r="D332">
        <v>0</v>
      </c>
      <c r="E332">
        <v>0</v>
      </c>
      <c r="F332">
        <v>58.398642881098567</v>
      </c>
      <c r="G332">
        <v>0</v>
      </c>
      <c r="H332">
        <v>0</v>
      </c>
      <c r="I332">
        <v>-4.4687565860950142</v>
      </c>
      <c r="J332">
        <v>0</v>
      </c>
      <c r="K332">
        <v>136.30026807659186</v>
      </c>
      <c r="L332">
        <v>-10.429912248028046</v>
      </c>
      <c r="M332">
        <v>-35.470893864225175</v>
      </c>
      <c r="N332">
        <v>0</v>
      </c>
      <c r="O332">
        <v>0</v>
      </c>
    </row>
    <row r="333" spans="1:15" x14ac:dyDescent="0.3">
      <c r="A333">
        <v>331</v>
      </c>
      <c r="B333" s="20">
        <v>55061</v>
      </c>
      <c r="C333">
        <v>0</v>
      </c>
      <c r="D333">
        <v>0</v>
      </c>
      <c r="E333">
        <v>0</v>
      </c>
      <c r="F333">
        <v>44.48929120760225</v>
      </c>
      <c r="G333">
        <v>0</v>
      </c>
      <c r="H333">
        <v>0</v>
      </c>
      <c r="I333">
        <v>-3.4180614100923483</v>
      </c>
      <c r="J333">
        <v>0</v>
      </c>
      <c r="K333">
        <v>103.83635678794865</v>
      </c>
      <c r="L333">
        <v>-7.9776286487751467</v>
      </c>
      <c r="M333">
        <v>-24.753322817504184</v>
      </c>
      <c r="N333">
        <v>0</v>
      </c>
      <c r="O333">
        <v>0</v>
      </c>
    </row>
    <row r="334" spans="1:15" x14ac:dyDescent="0.3">
      <c r="A334">
        <v>332</v>
      </c>
      <c r="B334" s="20">
        <v>55092</v>
      </c>
      <c r="C334">
        <v>0</v>
      </c>
      <c r="D334">
        <v>0</v>
      </c>
      <c r="E334">
        <v>0</v>
      </c>
      <c r="F334">
        <v>31.792533736322621</v>
      </c>
      <c r="G334">
        <v>0</v>
      </c>
      <c r="H334">
        <v>0</v>
      </c>
      <c r="I334">
        <v>-2.4527199267933089</v>
      </c>
      <c r="J334">
        <v>0</v>
      </c>
      <c r="K334">
        <v>74.202595425336497</v>
      </c>
      <c r="L334">
        <v>-5.7245574048593033</v>
      </c>
      <c r="M334">
        <v>-14.97529629083496</v>
      </c>
      <c r="N334">
        <v>0</v>
      </c>
      <c r="O334">
        <v>0</v>
      </c>
    </row>
    <row r="335" spans="1:15" x14ac:dyDescent="0.3">
      <c r="A335">
        <v>333</v>
      </c>
      <c r="B335" s="20">
        <v>55122</v>
      </c>
      <c r="C335">
        <v>0</v>
      </c>
      <c r="D335">
        <v>0</v>
      </c>
      <c r="E335">
        <v>0</v>
      </c>
      <c r="F335">
        <v>19.038589128576199</v>
      </c>
      <c r="G335">
        <v>0</v>
      </c>
      <c r="H335">
        <v>0</v>
      </c>
      <c r="I335">
        <v>-1.4746807462076224</v>
      </c>
      <c r="J335">
        <v>0</v>
      </c>
      <c r="K335">
        <v>44.43536140571711</v>
      </c>
      <c r="L335">
        <v>-3.4418502060866101</v>
      </c>
      <c r="M335">
        <v>-5.1601882288331034</v>
      </c>
      <c r="N335">
        <v>0</v>
      </c>
      <c r="O335">
        <v>0</v>
      </c>
    </row>
    <row r="336" spans="1:15" x14ac:dyDescent="0.3">
      <c r="A336">
        <v>334</v>
      </c>
      <c r="B336" s="20">
        <v>55153</v>
      </c>
      <c r="C336">
        <v>0</v>
      </c>
      <c r="D336">
        <v>0</v>
      </c>
      <c r="E336">
        <v>0</v>
      </c>
      <c r="F336">
        <v>12.907395325337999</v>
      </c>
      <c r="G336">
        <v>0</v>
      </c>
      <c r="H336">
        <v>-49.654037872735636</v>
      </c>
      <c r="I336">
        <v>-1.0039227699290476</v>
      </c>
      <c r="J336">
        <v>0</v>
      </c>
      <c r="K336">
        <v>30.12538230718938</v>
      </c>
      <c r="L336">
        <v>-2.3431185369859362</v>
      </c>
      <c r="M336">
        <v>11.971242053447474</v>
      </c>
      <c r="N336">
        <v>0</v>
      </c>
      <c r="O336">
        <v>0</v>
      </c>
    </row>
    <row r="337" spans="1:15" x14ac:dyDescent="0.3">
      <c r="A337">
        <v>335</v>
      </c>
      <c r="B337" s="20">
        <v>55184</v>
      </c>
      <c r="C337">
        <v>0</v>
      </c>
      <c r="D337">
        <v>0</v>
      </c>
      <c r="E337">
        <v>0</v>
      </c>
      <c r="F337">
        <v>13.334932390538782</v>
      </c>
      <c r="G337">
        <v>0</v>
      </c>
      <c r="H337">
        <v>0</v>
      </c>
      <c r="I337">
        <v>-1.0414800497586083</v>
      </c>
      <c r="J337">
        <v>0</v>
      </c>
      <c r="K337">
        <v>31.123237971715568</v>
      </c>
      <c r="L337">
        <v>-2.4307758361361804</v>
      </c>
      <c r="M337">
        <v>-0.76731195242322436</v>
      </c>
      <c r="N337">
        <v>0</v>
      </c>
      <c r="O337">
        <v>0</v>
      </c>
    </row>
    <row r="338" spans="1:15" x14ac:dyDescent="0.3">
      <c r="A338">
        <v>336</v>
      </c>
      <c r="B338" s="20">
        <v>55212</v>
      </c>
      <c r="C338">
        <v>0</v>
      </c>
      <c r="D338">
        <v>0</v>
      </c>
      <c r="E338">
        <v>0</v>
      </c>
      <c r="F338">
        <v>18.470405999304038</v>
      </c>
      <c r="G338">
        <v>0</v>
      </c>
      <c r="H338">
        <v>0</v>
      </c>
      <c r="I338">
        <v>-1.4479747215572314</v>
      </c>
      <c r="J338">
        <v>0</v>
      </c>
      <c r="K338">
        <v>43.109243040362799</v>
      </c>
      <c r="L338">
        <v>-3.3795193343483816</v>
      </c>
      <c r="M338">
        <v>-4.7088720792736405</v>
      </c>
      <c r="N338">
        <v>0</v>
      </c>
      <c r="O338">
        <v>0</v>
      </c>
    </row>
    <row r="339" spans="1:15" x14ac:dyDescent="0.3">
      <c r="A339">
        <v>337</v>
      </c>
      <c r="B339" s="20">
        <v>55243</v>
      </c>
      <c r="C339">
        <v>0</v>
      </c>
      <c r="D339">
        <v>0</v>
      </c>
      <c r="E339">
        <v>0</v>
      </c>
      <c r="F339">
        <v>32.404073821861132</v>
      </c>
      <c r="G339">
        <v>0</v>
      </c>
      <c r="H339">
        <v>0</v>
      </c>
      <c r="I339">
        <v>-2.5508363399255005</v>
      </c>
      <c r="J339">
        <v>0</v>
      </c>
      <c r="K339">
        <v>75.629907319693189</v>
      </c>
      <c r="L339">
        <v>-5.9535574766565142</v>
      </c>
      <c r="M339">
        <v>-15.40323016457641</v>
      </c>
      <c r="N339">
        <v>0</v>
      </c>
      <c r="O339">
        <v>0</v>
      </c>
    </row>
    <row r="340" spans="1:15" x14ac:dyDescent="0.3">
      <c r="A340">
        <v>338</v>
      </c>
      <c r="B340" s="20">
        <v>55273</v>
      </c>
      <c r="C340">
        <v>0</v>
      </c>
      <c r="D340">
        <v>0</v>
      </c>
      <c r="E340">
        <v>0</v>
      </c>
      <c r="F340">
        <v>45.018664898947812</v>
      </c>
      <c r="G340">
        <v>0</v>
      </c>
      <c r="H340">
        <v>0</v>
      </c>
      <c r="I340">
        <v>-3.5580825811993799</v>
      </c>
      <c r="J340">
        <v>0</v>
      </c>
      <c r="K340">
        <v>105.0718953635625</v>
      </c>
      <c r="L340">
        <v>-8.3044328725846643</v>
      </c>
      <c r="M340">
        <v>-25.077844535514899</v>
      </c>
      <c r="N340">
        <v>0</v>
      </c>
      <c r="O340">
        <v>0</v>
      </c>
    </row>
    <row r="341" spans="1:15" x14ac:dyDescent="0.3">
      <c r="A341">
        <v>339</v>
      </c>
      <c r="B341" s="20">
        <v>55304</v>
      </c>
      <c r="C341">
        <v>0</v>
      </c>
      <c r="D341">
        <v>0</v>
      </c>
      <c r="E341">
        <v>0</v>
      </c>
      <c r="F341">
        <v>58.679794714754763</v>
      </c>
      <c r="G341">
        <v>0</v>
      </c>
      <c r="H341">
        <v>0</v>
      </c>
      <c r="I341">
        <v>-4.6570450867725075</v>
      </c>
      <c r="J341">
        <v>0</v>
      </c>
      <c r="K341">
        <v>136.95646603611615</v>
      </c>
      <c r="L341">
        <v>-10.869370630140352</v>
      </c>
      <c r="M341">
        <v>-35.548294591822852</v>
      </c>
      <c r="N341">
        <v>0</v>
      </c>
      <c r="O341">
        <v>0</v>
      </c>
    </row>
    <row r="342" spans="1:15" x14ac:dyDescent="0.3">
      <c r="A342">
        <v>340</v>
      </c>
      <c r="B342" s="20">
        <v>55334</v>
      </c>
      <c r="C342">
        <v>0</v>
      </c>
      <c r="D342">
        <v>0</v>
      </c>
      <c r="E342">
        <v>0</v>
      </c>
      <c r="F342">
        <v>63.525531475338745</v>
      </c>
      <c r="G342">
        <v>0</v>
      </c>
      <c r="H342">
        <v>0</v>
      </c>
      <c r="I342">
        <v>-5.0618654132881735</v>
      </c>
      <c r="J342">
        <v>0</v>
      </c>
      <c r="K342">
        <v>148.26623603952086</v>
      </c>
      <c r="L342">
        <v>-11.81420626851779</v>
      </c>
      <c r="M342">
        <v>-39.249757291596744</v>
      </c>
      <c r="N342">
        <v>0</v>
      </c>
      <c r="O342">
        <v>0</v>
      </c>
    </row>
    <row r="343" spans="1:15" x14ac:dyDescent="0.3">
      <c r="A343">
        <v>341</v>
      </c>
      <c r="B343" s="20">
        <v>55365</v>
      </c>
      <c r="C343">
        <v>0</v>
      </c>
      <c r="D343">
        <v>0</v>
      </c>
      <c r="E343">
        <v>0</v>
      </c>
      <c r="F343">
        <v>65.474143576786744</v>
      </c>
      <c r="G343">
        <v>0</v>
      </c>
      <c r="H343">
        <v>0</v>
      </c>
      <c r="I343">
        <v>-5.2387847819803524</v>
      </c>
      <c r="J343">
        <v>0</v>
      </c>
      <c r="K343">
        <v>152.81422446359119</v>
      </c>
      <c r="L343">
        <v>-12.22712951794642</v>
      </c>
      <c r="M343">
        <v>-40.726446768446124</v>
      </c>
      <c r="N343">
        <v>0</v>
      </c>
      <c r="O343">
        <v>0</v>
      </c>
    </row>
    <row r="344" spans="1:15" x14ac:dyDescent="0.3">
      <c r="A344">
        <v>342</v>
      </c>
      <c r="B344" s="20">
        <v>55396</v>
      </c>
      <c r="C344">
        <v>0</v>
      </c>
      <c r="D344">
        <v>0</v>
      </c>
      <c r="E344">
        <v>0</v>
      </c>
      <c r="F344">
        <v>58.106649666693052</v>
      </c>
      <c r="G344">
        <v>0</v>
      </c>
      <c r="H344">
        <v>0</v>
      </c>
      <c r="I344">
        <v>-4.6685822074696803</v>
      </c>
      <c r="J344">
        <v>0</v>
      </c>
      <c r="K344">
        <v>135.61876673620887</v>
      </c>
      <c r="L344">
        <v>-10.896297842251402</v>
      </c>
      <c r="M344">
        <v>-35.06096742162854</v>
      </c>
      <c r="N344">
        <v>0</v>
      </c>
      <c r="O344">
        <v>0</v>
      </c>
    </row>
    <row r="345" spans="1:15" x14ac:dyDescent="0.3">
      <c r="A345">
        <v>343</v>
      </c>
      <c r="B345" s="20">
        <v>55426</v>
      </c>
      <c r="C345">
        <v>0</v>
      </c>
      <c r="D345">
        <v>0</v>
      </c>
      <c r="E345">
        <v>0</v>
      </c>
      <c r="F345">
        <v>44.266844751564221</v>
      </c>
      <c r="G345">
        <v>0</v>
      </c>
      <c r="H345">
        <v>0</v>
      </c>
      <c r="I345">
        <v>-3.57090398095283</v>
      </c>
      <c r="J345">
        <v>0</v>
      </c>
      <c r="K345">
        <v>103.31717500400887</v>
      </c>
      <c r="L345">
        <v>-8.3343575444142921</v>
      </c>
      <c r="M345">
        <v>-24.440522890884829</v>
      </c>
      <c r="N345">
        <v>0</v>
      </c>
      <c r="O345">
        <v>0</v>
      </c>
    </row>
    <row r="346" spans="1:15" x14ac:dyDescent="0.3">
      <c r="A346">
        <v>344</v>
      </c>
      <c r="B346" s="20">
        <v>55457</v>
      </c>
      <c r="C346">
        <v>0</v>
      </c>
      <c r="D346">
        <v>0</v>
      </c>
      <c r="E346">
        <v>0</v>
      </c>
      <c r="F346">
        <v>31.633571067640997</v>
      </c>
      <c r="G346">
        <v>0</v>
      </c>
      <c r="H346">
        <v>0</v>
      </c>
      <c r="I346">
        <v>-2.5623961362683443</v>
      </c>
      <c r="J346">
        <v>0</v>
      </c>
      <c r="K346">
        <v>73.831582448209772</v>
      </c>
      <c r="L346">
        <v>-5.9805376128841381</v>
      </c>
      <c r="M346">
        <v>-14.751388275007908</v>
      </c>
      <c r="N346">
        <v>0</v>
      </c>
      <c r="O346">
        <v>0</v>
      </c>
    </row>
    <row r="347" spans="1:15" x14ac:dyDescent="0.3">
      <c r="A347">
        <v>345</v>
      </c>
      <c r="B347" s="20">
        <v>55487</v>
      </c>
      <c r="C347">
        <v>0</v>
      </c>
      <c r="D347">
        <v>0</v>
      </c>
      <c r="E347">
        <v>0</v>
      </c>
      <c r="F347">
        <v>18.943396182933309</v>
      </c>
      <c r="G347">
        <v>0</v>
      </c>
      <c r="H347">
        <v>0</v>
      </c>
      <c r="I347">
        <v>-1.5406228020710178</v>
      </c>
      <c r="J347">
        <v>0</v>
      </c>
      <c r="K347">
        <v>44.2131845986885</v>
      </c>
      <c r="L347">
        <v>-3.595756520485081</v>
      </c>
      <c r="M347">
        <v>-5.0258836980997614</v>
      </c>
      <c r="N347">
        <v>0</v>
      </c>
      <c r="O347">
        <v>0</v>
      </c>
    </row>
    <row r="348" spans="1:15" x14ac:dyDescent="0.3">
      <c r="A348">
        <v>346</v>
      </c>
      <c r="B348" s="20">
        <v>55518</v>
      </c>
      <c r="C348">
        <v>0</v>
      </c>
      <c r="D348">
        <v>0</v>
      </c>
      <c r="E348">
        <v>0</v>
      </c>
      <c r="F348">
        <v>12.842858348711303</v>
      </c>
      <c r="G348">
        <v>0</v>
      </c>
      <c r="H348">
        <v>-52.135050883421343</v>
      </c>
      <c r="I348">
        <v>-1.0488143381870871</v>
      </c>
      <c r="J348">
        <v>0</v>
      </c>
      <c r="K348">
        <v>29.974755395653421</v>
      </c>
      <c r="L348">
        <v>-2.4478937935001563</v>
      </c>
      <c r="M348">
        <v>12.68270298435263</v>
      </c>
      <c r="N348">
        <v>0</v>
      </c>
      <c r="O348">
        <v>0</v>
      </c>
    </row>
    <row r="349" spans="1:15" x14ac:dyDescent="0.3">
      <c r="A349">
        <v>347</v>
      </c>
      <c r="B349" s="20">
        <v>55549</v>
      </c>
      <c r="C349">
        <v>0</v>
      </c>
      <c r="D349">
        <v>0</v>
      </c>
      <c r="E349">
        <v>0</v>
      </c>
      <c r="F349">
        <v>12.75606720743092</v>
      </c>
      <c r="G349">
        <v>0</v>
      </c>
      <c r="H349">
        <v>0</v>
      </c>
      <c r="I349">
        <v>-1.0460493317625159</v>
      </c>
      <c r="J349">
        <v>0</v>
      </c>
      <c r="K349">
        <v>29.772188088613852</v>
      </c>
      <c r="L349">
        <v>-2.4414403709836447</v>
      </c>
      <c r="M349">
        <v>-0.28102473165798725</v>
      </c>
      <c r="N349">
        <v>0</v>
      </c>
      <c r="O349">
        <v>0</v>
      </c>
    </row>
    <row r="350" spans="1:15" x14ac:dyDescent="0.3">
      <c r="A350">
        <v>348</v>
      </c>
      <c r="B350" s="20">
        <v>55578</v>
      </c>
      <c r="C350">
        <v>0</v>
      </c>
      <c r="D350">
        <v>0</v>
      </c>
      <c r="E350">
        <v>0</v>
      </c>
      <c r="F350">
        <v>18.89003058710669</v>
      </c>
      <c r="G350">
        <v>0</v>
      </c>
      <c r="H350">
        <v>0</v>
      </c>
      <c r="I350">
        <v>-1.5550717946749446</v>
      </c>
      <c r="J350">
        <v>0</v>
      </c>
      <c r="K350">
        <v>44.088631275899047</v>
      </c>
      <c r="L350">
        <v>-3.6294799337048316</v>
      </c>
      <c r="M350">
        <v>-4.9693608669898239</v>
      </c>
      <c r="N350">
        <v>0</v>
      </c>
      <c r="O350">
        <v>0</v>
      </c>
    </row>
    <row r="351" spans="1:15" x14ac:dyDescent="0.3">
      <c r="A351">
        <v>349</v>
      </c>
      <c r="B351" s="20">
        <v>55609</v>
      </c>
      <c r="C351">
        <v>0</v>
      </c>
      <c r="D351">
        <v>0</v>
      </c>
      <c r="E351">
        <v>0</v>
      </c>
      <c r="F351">
        <v>32.242053452751811</v>
      </c>
      <c r="G351">
        <v>0</v>
      </c>
      <c r="H351">
        <v>0</v>
      </c>
      <c r="I351">
        <v>-2.6652559472665081</v>
      </c>
      <c r="J351">
        <v>0</v>
      </c>
      <c r="K351">
        <v>75.251757783094689</v>
      </c>
      <c r="L351">
        <v>-6.2206085994976812</v>
      </c>
      <c r="M351">
        <v>-15.172820005603914</v>
      </c>
      <c r="N351">
        <v>0</v>
      </c>
      <c r="O351">
        <v>0</v>
      </c>
    </row>
    <row r="352" spans="1:15" x14ac:dyDescent="0.3">
      <c r="A352">
        <v>350</v>
      </c>
      <c r="B352" s="20">
        <v>55639</v>
      </c>
      <c r="C352">
        <v>0</v>
      </c>
      <c r="D352">
        <v>0</v>
      </c>
      <c r="E352">
        <v>0</v>
      </c>
      <c r="F352">
        <v>44.793571574453054</v>
      </c>
      <c r="G352">
        <v>0</v>
      </c>
      <c r="H352">
        <v>0</v>
      </c>
      <c r="I352">
        <v>-3.7176829465601795</v>
      </c>
      <c r="J352">
        <v>0</v>
      </c>
      <c r="K352">
        <v>104.54653588674466</v>
      </c>
      <c r="L352">
        <v>-8.6769342101258484</v>
      </c>
      <c r="M352">
        <v>-24.757205909461256</v>
      </c>
      <c r="N352">
        <v>0</v>
      </c>
      <c r="O352">
        <v>0</v>
      </c>
    </row>
    <row r="353" spans="1:15" x14ac:dyDescent="0.3">
      <c r="A353">
        <v>351</v>
      </c>
      <c r="B353" s="20">
        <v>55670</v>
      </c>
      <c r="C353">
        <v>0</v>
      </c>
      <c r="D353">
        <v>0</v>
      </c>
      <c r="E353">
        <v>0</v>
      </c>
      <c r="F353">
        <v>58.386395741180976</v>
      </c>
      <c r="G353">
        <v>0</v>
      </c>
      <c r="H353">
        <v>0</v>
      </c>
      <c r="I353">
        <v>-4.8659402094652657</v>
      </c>
      <c r="J353">
        <v>0</v>
      </c>
      <c r="K353">
        <v>136.27168370593554</v>
      </c>
      <c r="L353">
        <v>-11.356924104300468</v>
      </c>
      <c r="M353">
        <v>-35.129637116671027</v>
      </c>
      <c r="N353">
        <v>0</v>
      </c>
      <c r="O353">
        <v>0</v>
      </c>
    </row>
    <row r="354" spans="1:15" x14ac:dyDescent="0.3">
      <c r="A354">
        <v>352</v>
      </c>
      <c r="B354" s="20">
        <v>55700</v>
      </c>
      <c r="C354">
        <v>0</v>
      </c>
      <c r="D354">
        <v>0</v>
      </c>
      <c r="E354">
        <v>0</v>
      </c>
      <c r="F354">
        <v>63.207903817962027</v>
      </c>
      <c r="G354">
        <v>0</v>
      </c>
      <c r="H354">
        <v>0</v>
      </c>
      <c r="I354">
        <v>-5.2889190442625456</v>
      </c>
      <c r="J354">
        <v>0</v>
      </c>
      <c r="K354">
        <v>147.52490485932321</v>
      </c>
      <c r="L354">
        <v>-12.34414102800493</v>
      </c>
      <c r="M354">
        <v>-38.79577048458777</v>
      </c>
      <c r="N354">
        <v>0</v>
      </c>
      <c r="O354">
        <v>0</v>
      </c>
    </row>
    <row r="355" spans="1:15" x14ac:dyDescent="0.3">
      <c r="A355">
        <v>353</v>
      </c>
      <c r="B355" s="20">
        <v>55731</v>
      </c>
      <c r="C355">
        <v>0</v>
      </c>
      <c r="D355">
        <v>0</v>
      </c>
      <c r="E355">
        <v>0</v>
      </c>
      <c r="F355">
        <v>65.146772858902779</v>
      </c>
      <c r="G355">
        <v>0</v>
      </c>
      <c r="H355">
        <v>0</v>
      </c>
      <c r="I355">
        <v>-5.4737742590848466</v>
      </c>
      <c r="J355">
        <v>0</v>
      </c>
      <c r="K355">
        <v>152.05015334127319</v>
      </c>
      <c r="L355">
        <v>-12.775586248177859</v>
      </c>
      <c r="M355">
        <v>-40.25772475656165</v>
      </c>
      <c r="N355">
        <v>0</v>
      </c>
      <c r="O355">
        <v>0</v>
      </c>
    </row>
    <row r="356" spans="1:15" x14ac:dyDescent="0.3">
      <c r="A356">
        <v>354</v>
      </c>
      <c r="B356" s="20">
        <v>55762</v>
      </c>
      <c r="C356">
        <v>0</v>
      </c>
      <c r="D356">
        <v>0</v>
      </c>
      <c r="E356">
        <v>0</v>
      </c>
      <c r="F356">
        <v>57.81611641835957</v>
      </c>
      <c r="G356">
        <v>0</v>
      </c>
      <c r="H356">
        <v>0</v>
      </c>
      <c r="I356">
        <v>-4.8779948360483916</v>
      </c>
      <c r="J356">
        <v>0</v>
      </c>
      <c r="K356">
        <v>134.94067290252778</v>
      </c>
      <c r="L356">
        <v>-11.385059155969195</v>
      </c>
      <c r="M356">
        <v>-34.644267165550772</v>
      </c>
      <c r="N356">
        <v>0</v>
      </c>
      <c r="O356">
        <v>0</v>
      </c>
    </row>
    <row r="357" spans="1:15" x14ac:dyDescent="0.3">
      <c r="A357">
        <v>355</v>
      </c>
      <c r="B357" s="20">
        <v>55792</v>
      </c>
      <c r="C357">
        <v>0</v>
      </c>
      <c r="D357">
        <v>0</v>
      </c>
      <c r="E357">
        <v>0</v>
      </c>
      <c r="F357">
        <v>44.045510527806378</v>
      </c>
      <c r="G357">
        <v>0</v>
      </c>
      <c r="H357">
        <v>0</v>
      </c>
      <c r="I357">
        <v>-3.7310794594647119</v>
      </c>
      <c r="J357">
        <v>0</v>
      </c>
      <c r="K357">
        <v>102.80058912898878</v>
      </c>
      <c r="L357">
        <v>-8.7082011747348869</v>
      </c>
      <c r="M357">
        <v>-24.122538088982225</v>
      </c>
      <c r="N357">
        <v>0</v>
      </c>
      <c r="O357">
        <v>0</v>
      </c>
    </row>
    <row r="358" spans="1:15" x14ac:dyDescent="0.3">
      <c r="A358">
        <v>356</v>
      </c>
      <c r="B358" s="20">
        <v>55823</v>
      </c>
      <c r="C358">
        <v>0</v>
      </c>
      <c r="D358">
        <v>0</v>
      </c>
      <c r="E358">
        <v>0</v>
      </c>
      <c r="F358">
        <v>31.475403212302773</v>
      </c>
      <c r="G358">
        <v>0</v>
      </c>
      <c r="H358">
        <v>0</v>
      </c>
      <c r="I358">
        <v>-2.6773342666277777</v>
      </c>
      <c r="J358">
        <v>0</v>
      </c>
      <c r="K358">
        <v>73.462424535968694</v>
      </c>
      <c r="L358">
        <v>-6.2487989492324809</v>
      </c>
      <c r="M358">
        <v>-14.523756966436135</v>
      </c>
      <c r="N358">
        <v>0</v>
      </c>
      <c r="O358">
        <v>0</v>
      </c>
    </row>
    <row r="359" spans="1:15" x14ac:dyDescent="0.3">
      <c r="A359">
        <v>357</v>
      </c>
      <c r="B359" s="20">
        <v>55853</v>
      </c>
      <c r="C359">
        <v>0</v>
      </c>
      <c r="D359">
        <v>0</v>
      </c>
      <c r="E359">
        <v>0</v>
      </c>
      <c r="F359">
        <v>18.848679202018634</v>
      </c>
      <c r="G359">
        <v>0</v>
      </c>
      <c r="H359">
        <v>0</v>
      </c>
      <c r="I359">
        <v>-1.6097285511598507</v>
      </c>
      <c r="J359">
        <v>0</v>
      </c>
      <c r="K359">
        <v>43.992118675695039</v>
      </c>
      <c r="L359">
        <v>-3.7570467776169001</v>
      </c>
      <c r="M359">
        <v>-4.8893389705675645</v>
      </c>
      <c r="N359">
        <v>0</v>
      </c>
      <c r="O359">
        <v>0</v>
      </c>
    </row>
    <row r="360" spans="1:15" x14ac:dyDescent="0.3">
      <c r="A360">
        <v>358</v>
      </c>
      <c r="B360" s="20">
        <v>55884</v>
      </c>
      <c r="C360">
        <v>0</v>
      </c>
      <c r="D360">
        <v>0</v>
      </c>
      <c r="E360">
        <v>0</v>
      </c>
      <c r="F360">
        <v>12.778644056967741</v>
      </c>
      <c r="G360">
        <v>0</v>
      </c>
      <c r="H360">
        <v>-54.747342980106495</v>
      </c>
      <c r="I360">
        <v>-1.0958596632323192</v>
      </c>
      <c r="J360">
        <v>0</v>
      </c>
      <c r="K360">
        <v>29.824881618675139</v>
      </c>
      <c r="L360">
        <v>-2.5576958385317701</v>
      </c>
      <c r="M360">
        <v>13.428509868223593</v>
      </c>
      <c r="N360">
        <v>0</v>
      </c>
      <c r="O360">
        <v>0</v>
      </c>
    </row>
    <row r="361" spans="1:15" x14ac:dyDescent="0.3">
      <c r="A361">
        <v>359</v>
      </c>
      <c r="B361" s="20">
        <v>55915</v>
      </c>
      <c r="C361">
        <v>0</v>
      </c>
      <c r="D361">
        <v>0</v>
      </c>
      <c r="E361">
        <v>0</v>
      </c>
      <c r="F361">
        <v>13.201916439943142</v>
      </c>
      <c r="G361">
        <v>0</v>
      </c>
      <c r="H361">
        <v>0</v>
      </c>
      <c r="I361">
        <v>-1.1368563506855314</v>
      </c>
      <c r="J361">
        <v>0</v>
      </c>
      <c r="K361">
        <v>30.812783672947671</v>
      </c>
      <c r="L361">
        <v>-2.6533805876020886</v>
      </c>
      <c r="M361">
        <v>-0.57694912698413192</v>
      </c>
      <c r="N361">
        <v>0</v>
      </c>
      <c r="O361">
        <v>0</v>
      </c>
    </row>
    <row r="362" spans="1:15" x14ac:dyDescent="0.3">
      <c r="A362">
        <v>360</v>
      </c>
      <c r="B362" s="20">
        <v>55943</v>
      </c>
      <c r="C362">
        <v>0</v>
      </c>
      <c r="D362">
        <v>0</v>
      </c>
      <c r="E362">
        <v>0</v>
      </c>
      <c r="F362">
        <v>18.286163699460964</v>
      </c>
      <c r="G362">
        <v>0</v>
      </c>
      <c r="H362">
        <v>0</v>
      </c>
      <c r="I362">
        <v>-1.5805768513914316</v>
      </c>
      <c r="J362">
        <v>0</v>
      </c>
      <c r="K362">
        <v>42.679228341035142</v>
      </c>
      <c r="L362">
        <v>-3.6890077907963703</v>
      </c>
      <c r="M362">
        <v>-4.4447851829104099</v>
      </c>
      <c r="N362">
        <v>0</v>
      </c>
      <c r="O362">
        <v>0</v>
      </c>
    </row>
    <row r="363" spans="1:15" x14ac:dyDescent="0.3">
      <c r="A363">
        <v>361</v>
      </c>
      <c r="B363" s="20">
        <v>55974</v>
      </c>
      <c r="C363">
        <v>0</v>
      </c>
      <c r="D363">
        <v>0</v>
      </c>
      <c r="E363">
        <v>0</v>
      </c>
      <c r="F363">
        <v>32.080843185488035</v>
      </c>
      <c r="G363">
        <v>0</v>
      </c>
      <c r="H363">
        <v>0</v>
      </c>
      <c r="I363">
        <v>-2.7844359508143062</v>
      </c>
      <c r="J363">
        <v>0</v>
      </c>
      <c r="K363">
        <v>74.875498994179182</v>
      </c>
      <c r="L363">
        <v>-6.4987703106526471</v>
      </c>
      <c r="M363">
        <v>-24.418283979550068</v>
      </c>
      <c r="N363">
        <v>0</v>
      </c>
      <c r="O363">
        <v>0</v>
      </c>
    </row>
    <row r="364" spans="1:15" x14ac:dyDescent="0.3">
      <c r="A364">
        <v>362</v>
      </c>
      <c r="B364" s="20">
        <v>56004</v>
      </c>
      <c r="C364">
        <v>0</v>
      </c>
      <c r="D364">
        <v>0</v>
      </c>
      <c r="E364">
        <v>0</v>
      </c>
      <c r="F364">
        <v>44.569603716580772</v>
      </c>
      <c r="G364">
        <v>0</v>
      </c>
      <c r="H364">
        <v>0</v>
      </c>
      <c r="I364">
        <v>-3.8839234411044465</v>
      </c>
      <c r="J364">
        <v>0</v>
      </c>
      <c r="K364">
        <v>104.02380320731089</v>
      </c>
      <c r="L364">
        <v>-9.064933363080522</v>
      </c>
      <c r="M364">
        <v>-33.911137529926677</v>
      </c>
      <c r="N364">
        <v>0</v>
      </c>
      <c r="O364">
        <v>0</v>
      </c>
    </row>
    <row r="365" spans="1:15" x14ac:dyDescent="0.3">
      <c r="A365">
        <v>363</v>
      </c>
      <c r="B365" s="20">
        <v>56035</v>
      </c>
      <c r="C365">
        <v>0</v>
      </c>
      <c r="D365">
        <v>0</v>
      </c>
      <c r="E365">
        <v>0</v>
      </c>
      <c r="F365">
        <v>58.094463762475037</v>
      </c>
      <c r="G365">
        <v>0</v>
      </c>
      <c r="H365">
        <v>0</v>
      </c>
      <c r="I365">
        <v>-5.0835263561249198</v>
      </c>
      <c r="J365">
        <v>0</v>
      </c>
      <c r="K365">
        <v>135.59032528740579</v>
      </c>
      <c r="L365">
        <v>-11.864762106287024</v>
      </c>
      <c r="M365">
        <v>-44.184125146867217</v>
      </c>
      <c r="N365">
        <v>0</v>
      </c>
      <c r="O365">
        <v>0</v>
      </c>
    </row>
    <row r="366" spans="1:15" x14ac:dyDescent="0.3">
      <c r="A366">
        <v>364</v>
      </c>
      <c r="B366" s="20">
        <v>56065</v>
      </c>
      <c r="C366">
        <v>0</v>
      </c>
      <c r="D366">
        <v>0</v>
      </c>
      <c r="E366">
        <v>0</v>
      </c>
      <c r="F366">
        <v>62.891864298872186</v>
      </c>
      <c r="G366">
        <v>0</v>
      </c>
      <c r="H366">
        <v>0</v>
      </c>
      <c r="I366">
        <v>-5.5254191789328013</v>
      </c>
      <c r="J366">
        <v>0</v>
      </c>
      <c r="K366">
        <v>146.78728033502651</v>
      </c>
      <c r="L366">
        <v>-12.896123577005897</v>
      </c>
      <c r="M366">
        <v>-47.814400469489996</v>
      </c>
      <c r="N366">
        <v>0</v>
      </c>
      <c r="O366">
        <v>0</v>
      </c>
    </row>
    <row r="367" spans="1:15" x14ac:dyDescent="0.3">
      <c r="A367">
        <v>365</v>
      </c>
      <c r="B367" s="20">
        <v>56096</v>
      </c>
      <c r="C367">
        <v>0</v>
      </c>
      <c r="D367">
        <v>0</v>
      </c>
      <c r="E367">
        <v>0</v>
      </c>
      <c r="F367">
        <v>64.821038994608244</v>
      </c>
      <c r="G367">
        <v>0</v>
      </c>
      <c r="H367">
        <v>0</v>
      </c>
      <c r="I367">
        <v>-5.7185404085747873</v>
      </c>
      <c r="J367">
        <v>0</v>
      </c>
      <c r="K367">
        <v>151.28990257456675</v>
      </c>
      <c r="L367">
        <v>-13.346861369407636</v>
      </c>
      <c r="M367">
        <v>-49.261384947798142</v>
      </c>
      <c r="N367">
        <v>0</v>
      </c>
      <c r="O367">
        <v>0</v>
      </c>
    </row>
    <row r="368" spans="1:15" x14ac:dyDescent="0.3">
      <c r="A368">
        <v>366</v>
      </c>
      <c r="B368" s="20">
        <v>56127</v>
      </c>
      <c r="C368">
        <v>0</v>
      </c>
      <c r="D368">
        <v>0</v>
      </c>
      <c r="E368">
        <v>0</v>
      </c>
      <c r="F368">
        <v>57.527035836267743</v>
      </c>
      <c r="G368">
        <v>0</v>
      </c>
      <c r="H368">
        <v>0</v>
      </c>
      <c r="I368">
        <v>-5.0961200192836573</v>
      </c>
      <c r="J368">
        <v>0</v>
      </c>
      <c r="K368">
        <v>134.26596953801507</v>
      </c>
      <c r="L368">
        <v>-11.894155249345111</v>
      </c>
      <c r="M368">
        <v>-43.700682526413509</v>
      </c>
      <c r="N368">
        <v>0</v>
      </c>
      <c r="O368">
        <v>0</v>
      </c>
    </row>
    <row r="369" spans="1:15" x14ac:dyDescent="0.3">
      <c r="A369">
        <v>367</v>
      </c>
      <c r="B369" s="20">
        <v>56157</v>
      </c>
      <c r="C369">
        <v>0</v>
      </c>
      <c r="D369">
        <v>0</v>
      </c>
      <c r="E369">
        <v>0</v>
      </c>
      <c r="F369">
        <v>43.825282975167333</v>
      </c>
      <c r="G369">
        <v>0</v>
      </c>
      <c r="H369">
        <v>0</v>
      </c>
      <c r="I369">
        <v>-3.8979189945840989</v>
      </c>
      <c r="J369">
        <v>0</v>
      </c>
      <c r="K369">
        <v>102.28658618334379</v>
      </c>
      <c r="L369">
        <v>-9.0975984661898668</v>
      </c>
      <c r="M369">
        <v>-33.279087924434286</v>
      </c>
      <c r="N369">
        <v>0</v>
      </c>
      <c r="O369">
        <v>0</v>
      </c>
    </row>
    <row r="370" spans="1:15" x14ac:dyDescent="0.3">
      <c r="A370">
        <v>368</v>
      </c>
      <c r="B370" s="20">
        <v>56188</v>
      </c>
      <c r="C370">
        <v>0</v>
      </c>
      <c r="D370">
        <v>0</v>
      </c>
      <c r="E370">
        <v>0</v>
      </c>
      <c r="F370">
        <v>31.318026196241245</v>
      </c>
      <c r="G370">
        <v>0</v>
      </c>
      <c r="H370">
        <v>0</v>
      </c>
      <c r="I370">
        <v>-2.797054366201178</v>
      </c>
      <c r="J370">
        <v>0</v>
      </c>
      <c r="K370">
        <v>73.095112413288817</v>
      </c>
      <c r="L370">
        <v>-6.5282212244938167</v>
      </c>
      <c r="M370">
        <v>-23.771965754708766</v>
      </c>
      <c r="N370">
        <v>0</v>
      </c>
      <c r="O370">
        <v>0</v>
      </c>
    </row>
    <row r="371" spans="1:15" x14ac:dyDescent="0.3">
      <c r="A371">
        <v>369</v>
      </c>
      <c r="B371" s="20">
        <v>56218</v>
      </c>
      <c r="C371">
        <v>0</v>
      </c>
      <c r="D371">
        <v>0</v>
      </c>
      <c r="E371">
        <v>0</v>
      </c>
      <c r="F371">
        <v>18.754435806008534</v>
      </c>
      <c r="G371">
        <v>0</v>
      </c>
      <c r="H371">
        <v>0</v>
      </c>
      <c r="I371">
        <v>-1.6817094258803384</v>
      </c>
      <c r="J371">
        <v>0</v>
      </c>
      <c r="K371">
        <v>43.772158082316544</v>
      </c>
      <c r="L371">
        <v>-3.9250474714132526</v>
      </c>
      <c r="M371">
        <v>-14.229959247757872</v>
      </c>
      <c r="N371">
        <v>0</v>
      </c>
      <c r="O371">
        <v>0</v>
      </c>
    </row>
    <row r="372" spans="1:15" x14ac:dyDescent="0.3">
      <c r="A372">
        <v>370</v>
      </c>
      <c r="B372" s="20">
        <v>56249</v>
      </c>
      <c r="C372">
        <v>0</v>
      </c>
      <c r="D372">
        <v>0</v>
      </c>
      <c r="E372">
        <v>0</v>
      </c>
      <c r="F372">
        <v>12.714750836682894</v>
      </c>
      <c r="G372">
        <v>0</v>
      </c>
      <c r="H372">
        <v>-57.482848007557621</v>
      </c>
      <c r="I372">
        <v>-1.1448622960510793</v>
      </c>
      <c r="J372">
        <v>0</v>
      </c>
      <c r="K372">
        <v>29.675757210581747</v>
      </c>
      <c r="L372">
        <v>-2.6720661673638046</v>
      </c>
      <c r="M372">
        <v>4.7273171059269661</v>
      </c>
      <c r="N372">
        <v>0</v>
      </c>
      <c r="O372">
        <v>0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defaultColWidth="8.8984375" defaultRowHeight="15.6" x14ac:dyDescent="0.3"/>
  <cols>
    <col min="1" max="1" width="13.5" bestFit="1" customWidth="1"/>
    <col min="2" max="2" width="9.09765625" customWidth="1"/>
  </cols>
  <sheetData>
    <row r="1" spans="1:2" x14ac:dyDescent="0.3">
      <c r="A1" t="s">
        <v>0</v>
      </c>
      <c r="B1" t="s">
        <v>158</v>
      </c>
    </row>
    <row r="2" spans="1:2" x14ac:dyDescent="0.3">
      <c r="A2" t="s">
        <v>1</v>
      </c>
    </row>
    <row r="3" spans="1:2" x14ac:dyDescent="0.3">
      <c r="A3" t="s">
        <v>2</v>
      </c>
    </row>
    <row r="4" spans="1:2" x14ac:dyDescent="0.3">
      <c r="A4" t="s">
        <v>3</v>
      </c>
      <c r="B4" t="b">
        <v>0</v>
      </c>
    </row>
    <row r="5" spans="1:2" x14ac:dyDescent="0.3">
      <c r="A5" t="s">
        <v>4</v>
      </c>
    </row>
    <row r="6" spans="1:2" x14ac:dyDescent="0.3">
      <c r="A6" t="s">
        <v>5</v>
      </c>
      <c r="B6" t="b">
        <v>0</v>
      </c>
    </row>
    <row r="13" spans="1:2" x14ac:dyDescent="0.3">
      <c r="A13" s="1" t="s">
        <v>6</v>
      </c>
    </row>
    <row r="14" spans="1:2" x14ac:dyDescent="0.3">
      <c r="A14" t="s">
        <v>8</v>
      </c>
    </row>
    <row r="15" spans="1:2" x14ac:dyDescent="0.3">
      <c r="A15" t="s">
        <v>9</v>
      </c>
    </row>
    <row r="16" spans="1:2" x14ac:dyDescent="0.3">
      <c r="A1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ModuleSetup</vt:lpstr>
      <vt:lpstr>Einspeisung</vt:lpstr>
      <vt:lpstr>Direktverkauf</vt:lpstr>
      <vt:lpstr>Direktvermarktung</vt:lpstr>
      <vt:lpstr>Mieterstrom</vt:lpstr>
      <vt:lpstr>Parameter</vt:lpstr>
      <vt:lpstr>Kennzahlen</vt:lpstr>
      <vt:lpstr>Output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Frank</cp:lastModifiedBy>
  <dcterms:created xsi:type="dcterms:W3CDTF">2015-01-25T11:31:25Z</dcterms:created>
  <dcterms:modified xsi:type="dcterms:W3CDTF">2022-08-31T12:20:33Z</dcterms:modified>
</cp:coreProperties>
</file>